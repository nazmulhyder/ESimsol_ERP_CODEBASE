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2375" windowHeight="5655"/>
  </bookViews>
  <sheets>
    <sheet name="PIInformation" sheetId="1" r:id="rId1"/>
    <sheet name="PI-SC" sheetId="2" r:id="rId2"/>
    <sheet name="LabdipOrder" sheetId="3" r:id="rId3"/>
    <sheet name="DyeingOrder" sheetId="4" r:id="rId4"/>
    <sheet name="PTU" sheetId="5" r:id="rId5"/>
    <sheet name="DylineSheet" sheetId="6" r:id="rId6"/>
    <sheet name="Sheet1" sheetId="7" r:id="rId7"/>
  </sheets>
  <calcPr calcId="124519"/>
</workbook>
</file>

<file path=xl/calcChain.xml><?xml version="1.0" encoding="utf-8"?>
<calcChain xmlns="http://schemas.openxmlformats.org/spreadsheetml/2006/main">
  <c r="E11" i="1"/>
  <c r="J3"/>
  <c r="I3"/>
  <c r="L11"/>
  <c r="K4"/>
  <c r="K5"/>
  <c r="J6"/>
  <c r="J4"/>
  <c r="L4" s="1"/>
  <c r="J5"/>
  <c r="L5" s="1"/>
  <c r="H4"/>
  <c r="H6" s="1"/>
  <c r="H5"/>
  <c r="E4"/>
  <c r="E5"/>
  <c r="L3"/>
  <c r="K3"/>
  <c r="H3"/>
  <c r="E3"/>
  <c r="D6"/>
  <c r="E6" s="1"/>
  <c r="C6"/>
  <c r="C5"/>
  <c r="K18"/>
  <c r="D43"/>
  <c r="D44"/>
  <c r="D32"/>
  <c r="D33"/>
  <c r="D34"/>
  <c r="D35"/>
  <c r="I11"/>
  <c r="I18"/>
  <c r="C13"/>
  <c r="C14" s="1"/>
  <c r="D14"/>
  <c r="C20"/>
  <c r="C21" s="1"/>
  <c r="D21"/>
  <c r="I19"/>
  <c r="I20"/>
  <c r="I21"/>
  <c r="E19"/>
  <c r="K19" s="1"/>
  <c r="E18"/>
  <c r="L18" s="1"/>
  <c r="J12"/>
  <c r="J11"/>
  <c r="I12"/>
  <c r="L12" s="1"/>
  <c r="I13"/>
  <c r="E12"/>
  <c r="J13"/>
  <c r="L13" l="1"/>
  <c r="J14"/>
  <c r="L6"/>
  <c r="I4"/>
  <c r="I5"/>
  <c r="I6"/>
  <c r="K11"/>
  <c r="M11" s="1"/>
  <c r="J18"/>
  <c r="L19"/>
  <c r="J19"/>
  <c r="M19" s="1"/>
  <c r="E20"/>
  <c r="K12"/>
  <c r="M12" s="1"/>
  <c r="E13"/>
  <c r="K13" s="1"/>
  <c r="M13" s="1"/>
  <c r="L14"/>
  <c r="M18" l="1"/>
  <c r="K20"/>
  <c r="K21" s="1"/>
  <c r="L20"/>
  <c r="L21" s="1"/>
  <c r="J20"/>
  <c r="J21" s="1"/>
  <c r="E14"/>
  <c r="K14"/>
  <c r="M14" s="1"/>
  <c r="E21"/>
  <c r="M21" l="1"/>
  <c r="M20"/>
</calcChain>
</file>

<file path=xl/sharedStrings.xml><?xml version="1.0" encoding="utf-8"?>
<sst xmlns="http://schemas.openxmlformats.org/spreadsheetml/2006/main" count="1123" uniqueCount="436">
  <si>
    <t>Product Name</t>
  </si>
  <si>
    <t>UnitPrice</t>
  </si>
  <si>
    <t>P1</t>
  </si>
  <si>
    <t>P2</t>
  </si>
  <si>
    <t>AddQty</t>
  </si>
  <si>
    <t xml:space="preserve"> Qty</t>
  </si>
  <si>
    <t>PIQty</t>
  </si>
  <si>
    <t>AdjRate</t>
  </si>
  <si>
    <t>Actual Amount</t>
  </si>
  <si>
    <t>PI  Rate</t>
  </si>
  <si>
    <t>PI Amount</t>
  </si>
  <si>
    <t>Adjustment Value</t>
  </si>
  <si>
    <t>Total</t>
  </si>
  <si>
    <t>P3</t>
  </si>
  <si>
    <t>Qty</t>
  </si>
  <si>
    <t>SL</t>
  </si>
  <si>
    <t>Field Name</t>
  </si>
  <si>
    <t>Type &amp; Size</t>
  </si>
  <si>
    <t xml:space="preserve">Description </t>
  </si>
  <si>
    <t>SalesContractID</t>
  </si>
  <si>
    <t>Int</t>
  </si>
  <si>
    <t>PK</t>
  </si>
  <si>
    <t>SalesContractDetailID</t>
  </si>
  <si>
    <t>int</t>
  </si>
  <si>
    <t>ProductID</t>
  </si>
  <si>
    <t>nvarchar(200)</t>
  </si>
  <si>
    <t>DateTime</t>
  </si>
  <si>
    <t>MUnitID</t>
  </si>
  <si>
    <t>Decimal(30,17)</t>
  </si>
  <si>
    <t>AdjQty</t>
  </si>
  <si>
    <t>DocCharge</t>
  </si>
  <si>
    <t>Amount</t>
  </si>
  <si>
    <t>Style</t>
  </si>
  <si>
    <t>ColorInfo</t>
  </si>
  <si>
    <t>DBUserID</t>
  </si>
  <si>
    <t>DBServerDateTime</t>
  </si>
  <si>
    <t>LastUpdateBy</t>
  </si>
  <si>
    <t>LastUpdateDateTime</t>
  </si>
  <si>
    <t>SalesContract</t>
  </si>
  <si>
    <t>ExportPI</t>
  </si>
  <si>
    <t>ExportPIID</t>
  </si>
  <si>
    <t>TextileUnit</t>
  </si>
  <si>
    <t>PaymentType</t>
  </si>
  <si>
    <t>PINo</t>
  </si>
  <si>
    <t>PIStatus</t>
  </si>
  <si>
    <t>IssueDate</t>
  </si>
  <si>
    <t>ContractorID</t>
  </si>
  <si>
    <t>CurrencyID</t>
  </si>
  <si>
    <t>IsLIBORRate</t>
  </si>
  <si>
    <t>IsBBankFDD</t>
  </si>
  <si>
    <t>LCTermID</t>
  </si>
  <si>
    <t>OverdueRate</t>
  </si>
  <si>
    <t>LCOpenDate</t>
  </si>
  <si>
    <t>Note</t>
  </si>
  <si>
    <t>ApprovedDate</t>
  </si>
  <si>
    <t>LCID</t>
  </si>
  <si>
    <t>ExportPIPrintSetupID</t>
  </si>
  <si>
    <t>ShipmentTerm</t>
  </si>
  <si>
    <t>DepthOfShade</t>
  </si>
  <si>
    <t>YarnCount</t>
  </si>
  <si>
    <t>DeliveryToID</t>
  </si>
  <si>
    <t>smallint</t>
  </si>
  <si>
    <t>varchar(512)</t>
  </si>
  <si>
    <t>datetime</t>
  </si>
  <si>
    <t>money</t>
  </si>
  <si>
    <t>bit</t>
  </si>
  <si>
    <t>varchar(50)</t>
  </si>
  <si>
    <t>SCNo</t>
  </si>
  <si>
    <t>SCDate</t>
  </si>
  <si>
    <t>ApproveDate</t>
  </si>
  <si>
    <t>ContractorGrade_Production</t>
  </si>
  <si>
    <t>ContractorGrade_Delivery</t>
  </si>
  <si>
    <t>AppLCOpenDate</t>
  </si>
  <si>
    <t>AppDeliveryDate</t>
  </si>
  <si>
    <t>PaymentTerms</t>
  </si>
  <si>
    <t>ExportPIDetailID</t>
  </si>
  <si>
    <t>FabricID</t>
  </si>
  <si>
    <t>decimal(30, 15)</t>
  </si>
  <si>
    <t>StyleNo</t>
  </si>
  <si>
    <t>BuyerReference</t>
  </si>
  <si>
    <t xml:space="preserve"> </t>
  </si>
  <si>
    <t>SalesContractDetail</t>
  </si>
  <si>
    <t>SCProductionGuide</t>
  </si>
  <si>
    <t>ProductionGuidline</t>
  </si>
  <si>
    <t>DyeingType</t>
  </si>
  <si>
    <t>IsOwnChemical</t>
  </si>
  <si>
    <t>IsOwnDyes</t>
  </si>
  <si>
    <t>IsHank</t>
  </si>
  <si>
    <t>IsTwisted</t>
  </si>
  <si>
    <t>PurchaseInvoiceID</t>
  </si>
  <si>
    <t>SCProductionGuideDetail</t>
  </si>
  <si>
    <t>ProductionGuidlineID</t>
  </si>
  <si>
    <t>ProductionGuidlineDetailID</t>
  </si>
  <si>
    <t>LotID</t>
  </si>
  <si>
    <t>Percentage</t>
  </si>
  <si>
    <t>Varchar(500)</t>
  </si>
  <si>
    <t>LabdipOrder</t>
  </si>
  <si>
    <t>LabdipDetail</t>
  </si>
  <si>
    <t>LabdipShade</t>
  </si>
  <si>
    <t>LabdipRecipe</t>
  </si>
  <si>
    <t>LabdipHistory</t>
  </si>
  <si>
    <t>LabdipAssignedPersonnel</t>
  </si>
  <si>
    <t>LabdipOrderID</t>
  </si>
  <si>
    <t>LabdipDetailID</t>
  </si>
  <si>
    <t>LabdipShadetID</t>
  </si>
  <si>
    <t>LabdipRecipeDyeID</t>
  </si>
  <si>
    <t>LOHID</t>
  </si>
  <si>
    <t>LabdipAssignedPersonnelID</t>
  </si>
  <si>
    <t>OrderNo</t>
  </si>
  <si>
    <t>LabdipID</t>
  </si>
  <si>
    <t>LabLabdipID</t>
  </si>
  <si>
    <t>ColorSet</t>
  </si>
  <si>
    <t>ShadeID (Enum)</t>
  </si>
  <si>
    <t>CurrentStatus</t>
  </si>
  <si>
    <t>EmployeeID</t>
  </si>
  <si>
    <t>ContactPersonnelID</t>
  </si>
  <si>
    <t>ShadeCount</t>
  </si>
  <si>
    <t>ShadePercentage</t>
  </si>
  <si>
    <t>PreviousStatus</t>
  </si>
  <si>
    <t>KnitPlyYarn</t>
  </si>
  <si>
    <t>DeliveryToContactPersonnelID</t>
  </si>
  <si>
    <t>ColorName</t>
  </si>
  <si>
    <t>ApproveBy</t>
  </si>
  <si>
    <t>IsDyes</t>
  </si>
  <si>
    <t>DeliveryPoint</t>
  </si>
  <si>
    <t>RefNo</t>
  </si>
  <si>
    <t>IsOwn</t>
  </si>
  <si>
    <t>PantonNO</t>
  </si>
  <si>
    <t>RelabON</t>
  </si>
  <si>
    <t>RGB</t>
  </si>
  <si>
    <t>PH</t>
  </si>
  <si>
    <t>ColorNo</t>
  </si>
  <si>
    <t>LightSource</t>
  </si>
  <si>
    <t>LotNo</t>
  </si>
  <si>
    <t>ColorCreateBy</t>
  </si>
  <si>
    <t>PriorityLevel</t>
  </si>
  <si>
    <t>ColorCreateDate</t>
  </si>
  <si>
    <t>OrderStatus</t>
  </si>
  <si>
    <t>OrderReferenceID (Sample Or Bulk order)</t>
  </si>
  <si>
    <t>Combo</t>
  </si>
  <si>
    <t>SeekingDate</t>
  </si>
  <si>
    <t>OrderDate</t>
  </si>
  <si>
    <t>Order Status</t>
  </si>
  <si>
    <t>Initilize</t>
  </si>
  <si>
    <t xml:space="preserve">Submit </t>
  </si>
  <si>
    <t>Waiting For Approve</t>
  </si>
  <si>
    <t>After Approve</t>
  </si>
  <si>
    <t>ApprovalDone</t>
  </si>
  <si>
    <t>Send To Lab</t>
  </si>
  <si>
    <t>InLab</t>
  </si>
  <si>
    <t>LabdipDone</t>
  </si>
  <si>
    <t>Forward To Admin</t>
  </si>
  <si>
    <t>Waiting For Receive From Lab</t>
  </si>
  <si>
    <t>Receive From Lab</t>
  </si>
  <si>
    <t>LabDipReceive</t>
  </si>
  <si>
    <t>Send To Party</t>
  </si>
  <si>
    <t>In Party Hand</t>
  </si>
  <si>
    <t>LightSourchID</t>
  </si>
  <si>
    <t>IsDeliveryStop</t>
  </si>
  <si>
    <t>SampleInvoiceID(If Type Sample,RnD)</t>
  </si>
  <si>
    <t>MktPersonID</t>
  </si>
  <si>
    <t>Status</t>
  </si>
  <si>
    <t>ProductionOrderID</t>
  </si>
  <si>
    <t>ShadeA</t>
  </si>
  <si>
    <t>PTUID</t>
  </si>
  <si>
    <t>IsTBA</t>
  </si>
  <si>
    <t>DepthofShade</t>
  </si>
  <si>
    <t>ProductionOrderDetailID</t>
  </si>
  <si>
    <t>LabDipDetailID</t>
  </si>
  <si>
    <t xml:space="preserve">Buyer Combo </t>
  </si>
  <si>
    <t>NoOfCone(Warp) :</t>
  </si>
  <si>
    <t xml:space="preserve">LengthOfCone(Warp) </t>
  </si>
  <si>
    <t>NoOfCone(Weft)</t>
  </si>
  <si>
    <t xml:space="preserve">Delivery Date  </t>
  </si>
  <si>
    <t xml:space="preserve">LDLotNo </t>
  </si>
  <si>
    <t xml:space="preserve">HankorCone </t>
  </si>
  <si>
    <t>AdjValue</t>
  </si>
  <si>
    <t>CRate</t>
  </si>
  <si>
    <t>PI UnitPrice</t>
  </si>
  <si>
    <t>Actual Rate</t>
  </si>
  <si>
    <t>Priority</t>
  </si>
  <si>
    <t>Requred Date</t>
  </si>
  <si>
    <t>ProductionTracingUnitID</t>
  </si>
  <si>
    <t>OrderID</t>
  </si>
  <si>
    <t>OrderType</t>
  </si>
  <si>
    <t>LabLabDipID</t>
  </si>
  <si>
    <t>varchar(255)</t>
  </si>
  <si>
    <t>PantonNo</t>
  </si>
  <si>
    <t>varchar(127)</t>
  </si>
  <si>
    <t>varchar(8)</t>
  </si>
  <si>
    <t>Shade</t>
  </si>
  <si>
    <t>EWYDLRelabNo</t>
  </si>
  <si>
    <t>varchar(27)</t>
  </si>
  <si>
    <t>DyeingOrderQty</t>
  </si>
  <si>
    <t>decimal(30, 17)</t>
  </si>
  <si>
    <t>JobOrderQty</t>
  </si>
  <si>
    <t>ProductionPipeLineQty</t>
  </si>
  <si>
    <t>ProductionFinishedQty</t>
  </si>
  <si>
    <t>DeliveryQty</t>
  </si>
  <si>
    <t>BuyerID</t>
  </si>
  <si>
    <t>FactoryID</t>
  </si>
  <si>
    <t>ProductionGraceQty</t>
  </si>
  <si>
    <t>WeightLossGainQty</t>
  </si>
  <si>
    <t>RateInLBS</t>
  </si>
  <si>
    <t>State</t>
  </si>
  <si>
    <t>ProductionLossQty</t>
  </si>
  <si>
    <t>ShadeFromOrder</t>
  </si>
  <si>
    <t>ReturnQty</t>
  </si>
  <si>
    <t>ActualDeliveryQty</t>
  </si>
  <si>
    <t>ReadyStockInhand</t>
  </si>
  <si>
    <t>JobOrderQtyApproved</t>
  </si>
  <si>
    <t>ShortClaimQty</t>
  </si>
  <si>
    <t>ProductionTracingUnit</t>
  </si>
  <si>
    <t>S.Int</t>
  </si>
  <si>
    <t>OrderQty</t>
  </si>
  <si>
    <t>ReOrderQty</t>
  </si>
  <si>
    <t>ProductionLossGainQty</t>
  </si>
  <si>
    <t>Type</t>
  </si>
  <si>
    <t>PIIssue</t>
  </si>
  <si>
    <t xml:space="preserve">DO </t>
  </si>
  <si>
    <t>YetToDo</t>
  </si>
  <si>
    <t>S-1</t>
  </si>
  <si>
    <t>S-2</t>
  </si>
  <si>
    <t>IssuePiD</t>
  </si>
  <si>
    <t>p1</t>
  </si>
  <si>
    <t>P4</t>
  </si>
  <si>
    <t>p3</t>
  </si>
  <si>
    <t>DyeingOrder</t>
  </si>
  <si>
    <r>
      <rPr>
        <sz val="11"/>
        <color theme="1"/>
        <rFont val="Calibri"/>
        <family val="2"/>
        <scheme val="minor"/>
      </rPr>
      <t>DyeingOrder</t>
    </r>
    <r>
      <rPr>
        <b/>
        <sz val="11"/>
        <color theme="1"/>
        <rFont val="Calibri"/>
        <family val="2"/>
        <scheme val="minor"/>
      </rPr>
      <t>Detail</t>
    </r>
  </si>
  <si>
    <t>OrderType(PI)</t>
  </si>
  <si>
    <t>Column Name</t>
  </si>
  <si>
    <t>Data type</t>
  </si>
  <si>
    <t>Max Length</t>
  </si>
  <si>
    <t>RouteSheetID</t>
  </si>
  <si>
    <t>ProductionScheduleDetailID</t>
  </si>
  <si>
    <t>RouteSheetNo</t>
  </si>
  <si>
    <t>varchar</t>
  </si>
  <si>
    <t>Date</t>
  </si>
  <si>
    <t>date</t>
  </si>
  <si>
    <t>TtlLiquire</t>
  </si>
  <si>
    <t>numeric</t>
  </si>
  <si>
    <t>ProgNo</t>
  </si>
  <si>
    <t>BatchNo</t>
  </si>
  <si>
    <t>ParentID</t>
  </si>
  <si>
    <t>ParentType</t>
  </si>
  <si>
    <t>MachineID</t>
  </si>
  <si>
    <t>NoOfPackage</t>
  </si>
  <si>
    <t>ReqYarnQty</t>
  </si>
  <si>
    <t>decimal</t>
  </si>
  <si>
    <t>AvgHankWeight</t>
  </si>
  <si>
    <t>TotalHankQty</t>
  </si>
  <si>
    <t>TotalDelYarnQty</t>
  </si>
  <si>
    <t>BatchStartTime</t>
  </si>
  <si>
    <t>BatchFinishedTime</t>
  </si>
  <si>
    <t>Shift</t>
  </si>
  <si>
    <t>DyeLinePrepareID</t>
  </si>
  <si>
    <t>ApdByDyeMasterID</t>
  </si>
  <si>
    <t>ChemicalStoreEmpID</t>
  </si>
  <si>
    <t>BatchManChemicalID</t>
  </si>
  <si>
    <t>YarnStoreEmpID</t>
  </si>
  <si>
    <t>BatchManYarnID</t>
  </si>
  <si>
    <t>MOperatorID</t>
  </si>
  <si>
    <t>DyeShiftInchargeID</t>
  </si>
  <si>
    <t>FinishingInchargeID</t>
  </si>
  <si>
    <t>FloorInchargeID</t>
  </si>
  <si>
    <t>Gauge</t>
  </si>
  <si>
    <t>Ply</t>
  </si>
  <si>
    <t>Effect</t>
  </si>
  <si>
    <t>Feelings</t>
  </si>
  <si>
    <t>Remark</t>
  </si>
  <si>
    <t>TtlCotton</t>
  </si>
  <si>
    <t>HanksCone</t>
  </si>
  <si>
    <t>CopiedFrom</t>
  </si>
  <si>
    <t>EntryUserID</t>
  </si>
  <si>
    <t>EntryDateTime</t>
  </si>
  <si>
    <t>ProductionYarnID</t>
  </si>
  <si>
    <t>RSState</t>
  </si>
  <si>
    <t>SubFactory</t>
  </si>
  <si>
    <t>TransferToAvailable</t>
  </si>
  <si>
    <t>PreviousState</t>
  </si>
  <si>
    <t>nvarchar</t>
  </si>
  <si>
    <t>ReDyeRouteSheetID</t>
  </si>
  <si>
    <t>RouteSheet</t>
  </si>
  <si>
    <t>BatchEndTime</t>
  </si>
  <si>
    <t>LocationID</t>
  </si>
  <si>
    <t>RouteSheetHistoryEnhanceID</t>
  </si>
  <si>
    <t>Event</t>
  </si>
  <si>
    <t>EventEmpID</t>
  </si>
  <si>
    <t>EventTime</t>
  </si>
  <si>
    <t>CurrentState</t>
  </si>
  <si>
    <t>Carrier</t>
  </si>
  <si>
    <t>CarrierType</t>
  </si>
  <si>
    <t>YarnQtyInLBS</t>
  </si>
  <si>
    <t>DBServerUserID</t>
  </si>
  <si>
    <t>RSYarnID</t>
  </si>
  <si>
    <t>NoOfCone</t>
  </si>
  <si>
    <t>LengthOfCone</t>
  </si>
  <si>
    <t>RouteSheetHistoryEnhanceI</t>
  </si>
  <si>
    <t>RouteSheetHistory</t>
  </si>
  <si>
    <t>RouteSheetHistoryID</t>
  </si>
  <si>
    <t>ProductID_Raw</t>
  </si>
  <si>
    <t>RouteSheetDetailID</t>
  </si>
  <si>
    <t>ProcessID</t>
  </si>
  <si>
    <t>IsDyesChemical</t>
  </si>
  <si>
    <t>TempTime</t>
  </si>
  <si>
    <t>GL</t>
  </si>
  <si>
    <t>DAdjustment</t>
  </si>
  <si>
    <t>TotalQty</t>
  </si>
  <si>
    <t>AddOne</t>
  </si>
  <si>
    <t>AddTwo</t>
  </si>
  <si>
    <t>Return</t>
  </si>
  <si>
    <t>BatchManID</t>
  </si>
  <si>
    <t>Equation</t>
  </si>
  <si>
    <t>Sequence</t>
  </si>
  <si>
    <t>ForCotton</t>
  </si>
  <si>
    <t>SupportMaterial</t>
  </si>
  <si>
    <t>TotalQtyLotID</t>
  </si>
  <si>
    <t>TotalQtyLotNo</t>
  </si>
  <si>
    <t>AddOneLotID</t>
  </si>
  <si>
    <t>AddOneLotNo</t>
  </si>
  <si>
    <t>AddTwoLotID</t>
  </si>
  <si>
    <t>AddTwoLotNo</t>
  </si>
  <si>
    <t>ReturnLotID</t>
  </si>
  <si>
    <t>ReturnLotNo</t>
  </si>
  <si>
    <t>AddThree</t>
  </si>
  <si>
    <t>AddThreeLotID</t>
  </si>
  <si>
    <t>AddThreeLotNo</t>
  </si>
  <si>
    <t>RouteSheetDetail</t>
  </si>
  <si>
    <t>RSInQCDetailID</t>
  </si>
  <si>
    <t>ColorGroupID</t>
  </si>
  <si>
    <t>YarnFormat</t>
  </si>
  <si>
    <t>QCByEmpID</t>
  </si>
  <si>
    <t>FinalizeEmpID</t>
  </si>
  <si>
    <t>ManagedLotID</t>
  </si>
  <si>
    <t>DBServerDate</t>
  </si>
  <si>
    <t>ManageDate</t>
  </si>
  <si>
    <t>MeasurementUnitID</t>
  </si>
  <si>
    <t>PTMID</t>
  </si>
  <si>
    <t>IsRaw</t>
  </si>
  <si>
    <t>RSInQCDetail</t>
  </si>
  <si>
    <t>FreshDyedYar,Recycal,Westage</t>
  </si>
  <si>
    <t>RSInQCSetup</t>
  </si>
  <si>
    <t>Name</t>
  </si>
  <si>
    <t>WorkingUnitID</t>
  </si>
  <si>
    <t>Activity</t>
  </si>
  <si>
    <t>DBuserUD</t>
  </si>
  <si>
    <t>PackingID</t>
  </si>
  <si>
    <t>Weight</t>
  </si>
  <si>
    <t>NoOfHankCone</t>
  </si>
  <si>
    <t>BagNo</t>
  </si>
  <si>
    <t>PackedByEmpID</t>
  </si>
  <si>
    <t>Warp</t>
  </si>
  <si>
    <t>Length</t>
  </si>
  <si>
    <t>Paking</t>
  </si>
  <si>
    <t>DyeingSolutionID</t>
  </si>
  <si>
    <t>Code</t>
  </si>
  <si>
    <t>DyeingSolutionType</t>
  </si>
  <si>
    <t>Description</t>
  </si>
  <si>
    <t>AdviseBy</t>
  </si>
  <si>
    <t>DBUSerID</t>
  </si>
  <si>
    <t>DyeingSolution</t>
  </si>
  <si>
    <t>DSTID</t>
  </si>
  <si>
    <t>DyeingSolutionTemplet</t>
  </si>
  <si>
    <t>DyeMachineID</t>
  </si>
  <si>
    <t>No</t>
  </si>
  <si>
    <t>Capacity</t>
  </si>
  <si>
    <t>Location</t>
  </si>
  <si>
    <t>CapacityInPcs</t>
  </si>
  <si>
    <t>CapacitySolution</t>
  </si>
  <si>
    <t>FactoryLocation</t>
  </si>
  <si>
    <t>MachineNo</t>
  </si>
  <si>
    <t>MachineName</t>
  </si>
  <si>
    <t>LocationId</t>
  </si>
  <si>
    <t>MachineType</t>
  </si>
  <si>
    <t>MaxWeight</t>
  </si>
  <si>
    <t>MinWeight</t>
  </si>
  <si>
    <t>UsesWeight</t>
  </si>
  <si>
    <t>MaxSpindleCount</t>
  </si>
  <si>
    <t>MinSpindleCount</t>
  </si>
  <si>
    <t>UsesSpindleCount</t>
  </si>
  <si>
    <t>MaxLiquorCapacity</t>
  </si>
  <si>
    <t>MinLiquorCapacity</t>
  </si>
  <si>
    <t>UsesLiquorCapacity</t>
  </si>
  <si>
    <t>DBServerdateTime</t>
  </si>
  <si>
    <t>MachineConfigureType</t>
  </si>
  <si>
    <t>CRSID</t>
  </si>
  <si>
    <t>ProductionScheduleID</t>
  </si>
  <si>
    <t>CombineRSNo</t>
  </si>
  <si>
    <t>CombineRSStatus</t>
  </si>
  <si>
    <t>CombineRouteSheets</t>
  </si>
  <si>
    <t>TotalWeight</t>
  </si>
  <si>
    <t>TotalCottonLiquor</t>
  </si>
  <si>
    <t>TotalLiquor</t>
  </si>
  <si>
    <t>ReDyeCRSID</t>
  </si>
  <si>
    <t>DyeMachine</t>
  </si>
  <si>
    <t>CRSDID</t>
  </si>
  <si>
    <t>CombineRouteSheet</t>
  </si>
  <si>
    <t>CombineRouteSheetDetail</t>
  </si>
  <si>
    <t>Varchar(50)</t>
  </si>
  <si>
    <t>ProductionScheduleNo</t>
  </si>
  <si>
    <t>ScheduleStability</t>
  </si>
  <si>
    <t>PSSID</t>
  </si>
  <si>
    <t>ProductionQty</t>
  </si>
  <si>
    <t>ScheduleType</t>
  </si>
  <si>
    <t>StartTime</t>
  </si>
  <si>
    <t>EndTime</t>
  </si>
  <si>
    <t>BatchGroup</t>
  </si>
  <si>
    <t>ScheduleStatus</t>
  </si>
  <si>
    <t>ProductionSchedule</t>
  </si>
  <si>
    <t>Remarks</t>
  </si>
  <si>
    <t>PSBatchNo</t>
  </si>
  <si>
    <t>ProductionScheduleDetail</t>
  </si>
  <si>
    <t>Des</t>
  </si>
  <si>
    <t>RouteSheetDate</t>
  </si>
  <si>
    <t>Insert RS</t>
  </si>
  <si>
    <t>DBUserUserID</t>
  </si>
  <si>
    <t>Update Extra  (EmpID)</t>
  </si>
  <si>
    <t>Update Extra   (EmpID)</t>
  </si>
  <si>
    <t>Update Extra  (UserID)</t>
  </si>
  <si>
    <t>Insert RS , Mendatory</t>
  </si>
  <si>
    <t xml:space="preserve">During Copy RS </t>
  </si>
  <si>
    <t>PrepareBy</t>
  </si>
  <si>
    <t>ApprovedBy</t>
  </si>
  <si>
    <t>NoOfHanksCone</t>
  </si>
  <si>
    <t>EventEmpId</t>
  </si>
  <si>
    <t>TotalValue</t>
  </si>
  <si>
    <t>RSInQCSetupID</t>
  </si>
  <si>
    <t>Adj Qty</t>
  </si>
  <si>
    <t>Actual Qty</t>
  </si>
  <si>
    <t>Actual Value</t>
  </si>
  <si>
    <t>PI Qty</t>
  </si>
  <si>
    <t>PI Value</t>
  </si>
  <si>
    <t>As Per PI View</t>
  </si>
  <si>
    <t>As Per Sales Contract  View</t>
  </si>
  <si>
    <t>Bells Count</t>
  </si>
  <si>
    <t>Weight Per Bells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</si>
</sst>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3" xfId="0" applyFont="1" applyFill="1" applyBorder="1"/>
    <xf numFmtId="0" fontId="0" fillId="4" borderId="1" xfId="0" applyFill="1" applyBorder="1"/>
    <xf numFmtId="0" fontId="0" fillId="0" borderId="1" xfId="0" applyBorder="1"/>
    <xf numFmtId="0" fontId="0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1" xfId="0" applyFill="1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0" fontId="0" fillId="5" borderId="0" xfId="0" applyFont="1" applyFill="1"/>
    <xf numFmtId="0" fontId="1" fillId="0" borderId="2" xfId="0" applyFont="1" applyFill="1" applyBorder="1"/>
    <xf numFmtId="0" fontId="0" fillId="0" borderId="2" xfId="0" applyFill="1" applyBorder="1"/>
    <xf numFmtId="0" fontId="2" fillId="0" borderId="2" xfId="0" applyFont="1" applyFill="1" applyBorder="1"/>
    <xf numFmtId="0" fontId="1" fillId="0" borderId="0" xfId="0" applyFont="1"/>
    <xf numFmtId="0" fontId="4" fillId="0" borderId="0" xfId="0" applyFont="1" applyFill="1"/>
    <xf numFmtId="0" fontId="2" fillId="7" borderId="0" xfId="0" applyFont="1" applyFill="1" applyAlignment="1"/>
    <xf numFmtId="0" fontId="0" fillId="7" borderId="0" xfId="0" applyFill="1" applyAlignment="1"/>
    <xf numFmtId="0" fontId="1" fillId="0" borderId="0" xfId="0" applyFont="1" applyFill="1"/>
    <xf numFmtId="0" fontId="5" fillId="10" borderId="0" xfId="0" applyFont="1" applyFill="1"/>
    <xf numFmtId="0" fontId="0" fillId="11" borderId="0" xfId="0" applyFill="1"/>
    <xf numFmtId="0" fontId="0" fillId="0" borderId="4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9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tabSelected="1" topLeftCell="A10" workbookViewId="0">
      <selection activeCell="F12" sqref="F12"/>
    </sheetView>
  </sheetViews>
  <sheetFormatPr defaultRowHeight="15"/>
  <cols>
    <col min="1" max="1" width="12" customWidth="1"/>
    <col min="2" max="2" width="25.42578125" customWidth="1"/>
    <col min="3" max="3" width="9" customWidth="1"/>
    <col min="4" max="9" width="11.5703125" customWidth="1"/>
    <col min="10" max="10" width="15.28515625" customWidth="1"/>
    <col min="11" max="11" width="13.7109375" customWidth="1"/>
    <col min="12" max="12" width="17.28515625" customWidth="1"/>
  </cols>
  <sheetData>
    <row r="1" spans="2:13">
      <c r="B1" s="32" t="s">
        <v>432</v>
      </c>
      <c r="C1" s="32"/>
      <c r="D1" s="32"/>
      <c r="E1" s="32"/>
      <c r="F1" s="32"/>
      <c r="G1" s="32"/>
      <c r="H1" s="32"/>
    </row>
    <row r="2" spans="2:13">
      <c r="B2" s="1" t="s">
        <v>0</v>
      </c>
      <c r="C2" s="1" t="s">
        <v>430</v>
      </c>
      <c r="D2" s="1" t="s">
        <v>9</v>
      </c>
      <c r="E2" s="1" t="s">
        <v>431</v>
      </c>
      <c r="F2" s="1" t="s">
        <v>427</v>
      </c>
      <c r="G2" s="1" t="s">
        <v>7</v>
      </c>
      <c r="H2" s="1" t="s">
        <v>176</v>
      </c>
      <c r="I2" s="1" t="s">
        <v>429</v>
      </c>
      <c r="J2" s="1" t="s">
        <v>428</v>
      </c>
      <c r="K2" s="1" t="s">
        <v>179</v>
      </c>
      <c r="L2" s="1" t="s">
        <v>429</v>
      </c>
      <c r="M2" s="5"/>
    </row>
    <row r="3" spans="2:13">
      <c r="B3" s="2" t="s">
        <v>2</v>
      </c>
      <c r="C3" s="2">
        <v>1000</v>
      </c>
      <c r="D3" s="2">
        <v>2.6</v>
      </c>
      <c r="E3" s="2">
        <f>C3*D3</f>
        <v>2600</v>
      </c>
      <c r="F3" s="2">
        <v>100</v>
      </c>
      <c r="G3" s="2">
        <v>0.6</v>
      </c>
      <c r="H3" s="2">
        <f>F3*(D3-G3)+C3*G3</f>
        <v>800</v>
      </c>
      <c r="I3" s="2">
        <f>E3-H3</f>
        <v>1800</v>
      </c>
      <c r="J3" s="2">
        <f>C3-F3</f>
        <v>900</v>
      </c>
      <c r="K3" s="2">
        <f>D3-G3</f>
        <v>2</v>
      </c>
      <c r="L3" s="5">
        <f>J3*K3</f>
        <v>1800</v>
      </c>
      <c r="M3" s="5"/>
    </row>
    <row r="4" spans="2:13">
      <c r="B4" s="2" t="s">
        <v>3</v>
      </c>
      <c r="C4" s="2">
        <v>100</v>
      </c>
      <c r="D4" s="2">
        <v>5</v>
      </c>
      <c r="E4" s="2">
        <f t="shared" ref="E4:E6" si="0">C4*D4</f>
        <v>500</v>
      </c>
      <c r="F4" s="2">
        <v>5</v>
      </c>
      <c r="G4" s="2">
        <v>0.03</v>
      </c>
      <c r="H4" s="2">
        <f t="shared" ref="H4:H5" si="1">F4*(D4-G4)+C4*G4</f>
        <v>27.849999999999998</v>
      </c>
      <c r="I4" s="2">
        <f t="shared" ref="I4:I6" si="2">E4-H4</f>
        <v>472.15</v>
      </c>
      <c r="J4" s="2">
        <f t="shared" ref="J4:J5" si="3">C4-F4</f>
        <v>95</v>
      </c>
      <c r="K4" s="2">
        <f t="shared" ref="K4:K5" si="4">D4-G4</f>
        <v>4.97</v>
      </c>
      <c r="L4" s="5">
        <f t="shared" ref="L4:L5" si="5">J4*K4</f>
        <v>472.15</v>
      </c>
      <c r="M4" s="5"/>
    </row>
    <row r="5" spans="2:13">
      <c r="B5" s="3" t="s">
        <v>13</v>
      </c>
      <c r="C5" s="3">
        <f>SUM(C3:C4)</f>
        <v>1100</v>
      </c>
      <c r="D5" s="3">
        <v>5</v>
      </c>
      <c r="E5" s="2">
        <f t="shared" si="0"/>
        <v>5500</v>
      </c>
      <c r="F5" s="3">
        <v>5</v>
      </c>
      <c r="G5" s="3">
        <v>0.5</v>
      </c>
      <c r="H5" s="2">
        <f t="shared" si="1"/>
        <v>572.5</v>
      </c>
      <c r="I5" s="2">
        <f t="shared" si="2"/>
        <v>4927.5</v>
      </c>
      <c r="J5" s="2">
        <f t="shared" si="3"/>
        <v>1095</v>
      </c>
      <c r="K5" s="2">
        <f t="shared" si="4"/>
        <v>4.5</v>
      </c>
      <c r="L5" s="5">
        <f t="shared" si="5"/>
        <v>4927.5</v>
      </c>
      <c r="M5" s="5"/>
    </row>
    <row r="6" spans="2:13">
      <c r="B6" s="4" t="s">
        <v>12</v>
      </c>
      <c r="C6" s="4">
        <f>SUM(C3:C5)</f>
        <v>2200</v>
      </c>
      <c r="D6" s="4">
        <f>SUM(D3:D5)</f>
        <v>12.6</v>
      </c>
      <c r="E6" s="2">
        <f t="shared" si="0"/>
        <v>27720</v>
      </c>
      <c r="F6" s="4"/>
      <c r="G6" s="4"/>
      <c r="H6" s="2">
        <f>SUM(H3:H5)</f>
        <v>1400.35</v>
      </c>
      <c r="I6" s="2">
        <f t="shared" si="2"/>
        <v>26319.65</v>
      </c>
      <c r="J6" s="2">
        <f>SUM(J3:J5)</f>
        <v>2090</v>
      </c>
      <c r="K6" s="4"/>
      <c r="L6" s="4">
        <f>SUM(L3:L5)</f>
        <v>7199.65</v>
      </c>
      <c r="M6" s="5"/>
    </row>
    <row r="9" spans="2:13">
      <c r="B9" s="32" t="s">
        <v>433</v>
      </c>
      <c r="C9" s="32"/>
      <c r="D9" s="32"/>
      <c r="E9" s="32"/>
      <c r="F9" s="32"/>
      <c r="G9" s="32"/>
      <c r="H9" s="32"/>
    </row>
    <row r="10" spans="2:13">
      <c r="B10" s="1" t="s">
        <v>0</v>
      </c>
      <c r="C10" s="1" t="s">
        <v>5</v>
      </c>
      <c r="D10" s="1" t="s">
        <v>4</v>
      </c>
      <c r="E10" s="1" t="s">
        <v>6</v>
      </c>
      <c r="F10" s="1" t="s">
        <v>1</v>
      </c>
      <c r="G10" s="1" t="s">
        <v>7</v>
      </c>
      <c r="H10" s="1"/>
      <c r="I10" s="1" t="s">
        <v>9</v>
      </c>
      <c r="J10" s="1" t="s">
        <v>8</v>
      </c>
      <c r="K10" s="1" t="s">
        <v>10</v>
      </c>
      <c r="L10" s="1" t="s">
        <v>11</v>
      </c>
      <c r="M10" s="5"/>
    </row>
    <row r="11" spans="2:13">
      <c r="B11" s="2" t="s">
        <v>2</v>
      </c>
      <c r="C11" s="2">
        <v>900</v>
      </c>
      <c r="D11" s="2">
        <v>100</v>
      </c>
      <c r="E11" s="2">
        <f>C11+D11</f>
        <v>1000</v>
      </c>
      <c r="F11" s="2">
        <v>2</v>
      </c>
      <c r="G11" s="2">
        <v>0.6</v>
      </c>
      <c r="H11" s="2"/>
      <c r="I11" s="2">
        <f>F11+G11</f>
        <v>2.6</v>
      </c>
      <c r="J11" s="2">
        <f>C11*F11</f>
        <v>1800</v>
      </c>
      <c r="K11" s="2">
        <f>E11*I11</f>
        <v>2600</v>
      </c>
      <c r="L11" s="5">
        <f>(D11*I11)+(C11*G11)</f>
        <v>800</v>
      </c>
      <c r="M11" s="5">
        <f>K11-J11</f>
        <v>800</v>
      </c>
    </row>
    <row r="12" spans="2:13">
      <c r="B12" s="2" t="s">
        <v>3</v>
      </c>
      <c r="C12" s="2">
        <v>100</v>
      </c>
      <c r="D12" s="2"/>
      <c r="E12" s="2">
        <f>C12+D12</f>
        <v>100</v>
      </c>
      <c r="F12" s="2">
        <v>5</v>
      </c>
      <c r="G12" s="2">
        <v>0.03</v>
      </c>
      <c r="H12" s="2"/>
      <c r="I12" s="2">
        <f t="shared" ref="I12:I13" si="6">F12+G12</f>
        <v>5.03</v>
      </c>
      <c r="J12" s="2">
        <f>C12*F12</f>
        <v>500</v>
      </c>
      <c r="K12" s="2">
        <f t="shared" ref="K12:K13" si="7">E12*I12</f>
        <v>503</v>
      </c>
      <c r="L12" s="5">
        <f>(D12*I12)+(C12*G12)</f>
        <v>3</v>
      </c>
      <c r="M12" s="5">
        <f t="shared" ref="M12:M14" si="8">K12-J12</f>
        <v>3</v>
      </c>
    </row>
    <row r="13" spans="2:13">
      <c r="B13" s="3" t="s">
        <v>13</v>
      </c>
      <c r="C13" s="3">
        <f>SUM(C11:C12)</f>
        <v>1000</v>
      </c>
      <c r="D13" s="3"/>
      <c r="E13" s="3">
        <f>C13+D13</f>
        <v>1000</v>
      </c>
      <c r="F13" s="3">
        <v>5</v>
      </c>
      <c r="G13" s="3">
        <v>0.5</v>
      </c>
      <c r="H13" s="3"/>
      <c r="I13" s="3">
        <f t="shared" si="6"/>
        <v>5.5</v>
      </c>
      <c r="J13" s="3">
        <f>C13*F13</f>
        <v>5000</v>
      </c>
      <c r="K13" s="3">
        <f t="shared" si="7"/>
        <v>5500</v>
      </c>
      <c r="L13" s="6">
        <f>(D13*I13)+(C13*G13)</f>
        <v>500</v>
      </c>
      <c r="M13" s="5">
        <f t="shared" si="8"/>
        <v>500</v>
      </c>
    </row>
    <row r="14" spans="2:13">
      <c r="B14" s="4" t="s">
        <v>12</v>
      </c>
      <c r="C14" s="4">
        <f>SUM(C11:C13)</f>
        <v>2000</v>
      </c>
      <c r="D14" s="4">
        <f>SUM(D11:D13)</f>
        <v>100</v>
      </c>
      <c r="E14" s="4">
        <f>SUM(E11:E13)</f>
        <v>2100</v>
      </c>
      <c r="F14" s="4"/>
      <c r="G14" s="4"/>
      <c r="H14" s="4"/>
      <c r="I14" s="4"/>
      <c r="J14" s="4">
        <f>SUM(J11:J13)</f>
        <v>7300</v>
      </c>
      <c r="K14" s="4">
        <f>SUM(K11:K13)</f>
        <v>8603</v>
      </c>
      <c r="L14" s="4">
        <f>SUM(L11:L13)</f>
        <v>1303</v>
      </c>
      <c r="M14" s="5">
        <f t="shared" si="8"/>
        <v>1303</v>
      </c>
    </row>
    <row r="17" spans="1:13">
      <c r="B17" s="1" t="s">
        <v>0</v>
      </c>
      <c r="C17" s="1" t="s">
        <v>5</v>
      </c>
      <c r="D17" s="1" t="s">
        <v>4</v>
      </c>
      <c r="E17" s="1" t="s">
        <v>6</v>
      </c>
      <c r="F17" s="1" t="s">
        <v>178</v>
      </c>
      <c r="G17" s="1" t="s">
        <v>7</v>
      </c>
      <c r="H17" s="1"/>
      <c r="I17" s="1" t="s">
        <v>179</v>
      </c>
      <c r="J17" s="1" t="s">
        <v>8</v>
      </c>
      <c r="K17" s="1" t="s">
        <v>10</v>
      </c>
      <c r="L17" s="1" t="s">
        <v>11</v>
      </c>
      <c r="M17" s="5"/>
    </row>
    <row r="18" spans="1:13">
      <c r="B18" s="2" t="s">
        <v>2</v>
      </c>
      <c r="C18" s="2">
        <v>900</v>
      </c>
      <c r="D18" s="2">
        <v>100</v>
      </c>
      <c r="E18" s="2">
        <f>C18+D18</f>
        <v>1000</v>
      </c>
      <c r="F18" s="2">
        <v>2</v>
      </c>
      <c r="G18" s="2">
        <v>0.6</v>
      </c>
      <c r="H18" s="2"/>
      <c r="I18" s="2">
        <f>F18-G18</f>
        <v>1.4</v>
      </c>
      <c r="J18" s="2">
        <f>(E18-D18)*I18</f>
        <v>1260</v>
      </c>
      <c r="K18" s="2">
        <f>E18*F18</f>
        <v>2000</v>
      </c>
      <c r="L18" s="5">
        <f>(D18*I18)+(E18*G18)</f>
        <v>740</v>
      </c>
      <c r="M18" s="5">
        <f>K18-J18</f>
        <v>740</v>
      </c>
    </row>
    <row r="19" spans="1:13">
      <c r="B19" s="2" t="s">
        <v>3</v>
      </c>
      <c r="C19" s="2">
        <v>100</v>
      </c>
      <c r="D19" s="2"/>
      <c r="E19" s="2">
        <f>C19+D19</f>
        <v>100</v>
      </c>
      <c r="F19" s="2">
        <v>5</v>
      </c>
      <c r="G19" s="2">
        <v>0.03</v>
      </c>
      <c r="H19" s="2"/>
      <c r="I19" s="2">
        <f t="shared" ref="I19:I21" si="9">F19-G19</f>
        <v>4.97</v>
      </c>
      <c r="J19" s="2">
        <f t="shared" ref="J19:J20" si="10">E19*I19</f>
        <v>497</v>
      </c>
      <c r="K19" s="2">
        <f t="shared" ref="K19:K20" si="11">E19*F19</f>
        <v>500</v>
      </c>
      <c r="L19" s="5">
        <f>(D19*I19)+(E19*G19)</f>
        <v>3</v>
      </c>
      <c r="M19" s="5">
        <f t="shared" ref="M19:M20" si="12">K19-J19</f>
        <v>3</v>
      </c>
    </row>
    <row r="20" spans="1:13">
      <c r="B20" s="3" t="s">
        <v>13</v>
      </c>
      <c r="C20" s="3">
        <f>SUM(C18:C19)</f>
        <v>1000</v>
      </c>
      <c r="D20" s="3"/>
      <c r="E20" s="3">
        <f>C20+D20</f>
        <v>1000</v>
      </c>
      <c r="F20" s="3">
        <v>5</v>
      </c>
      <c r="G20" s="3">
        <v>0.5</v>
      </c>
      <c r="H20" s="3"/>
      <c r="I20" s="2">
        <f t="shared" si="9"/>
        <v>4.5</v>
      </c>
      <c r="J20" s="2">
        <f t="shared" si="10"/>
        <v>4500</v>
      </c>
      <c r="K20" s="2">
        <f t="shared" si="11"/>
        <v>5000</v>
      </c>
      <c r="L20" s="5">
        <f>(D20*I20)+(E20*G20)</f>
        <v>500</v>
      </c>
      <c r="M20" s="5">
        <f t="shared" si="12"/>
        <v>500</v>
      </c>
    </row>
    <row r="21" spans="1:13">
      <c r="B21" s="4" t="s">
        <v>12</v>
      </c>
      <c r="C21" s="4">
        <f>SUM(C18:C20)</f>
        <v>2000</v>
      </c>
      <c r="D21" s="4">
        <f>SUM(D18:D20)</f>
        <v>100</v>
      </c>
      <c r="E21" s="4">
        <f>SUM(E18:E20)</f>
        <v>2100</v>
      </c>
      <c r="F21" s="4"/>
      <c r="G21" s="4"/>
      <c r="H21" s="4"/>
      <c r="I21" s="2">
        <f t="shared" si="9"/>
        <v>0</v>
      </c>
      <c r="J21" s="4">
        <f>SUM(J18:J20)</f>
        <v>6257</v>
      </c>
      <c r="K21" s="2">
        <f>SUM(K18:K20)</f>
        <v>7500</v>
      </c>
      <c r="L21" s="5">
        <f>SUM(L18:L20)</f>
        <v>1243</v>
      </c>
      <c r="M21" s="5">
        <f>K21-J21</f>
        <v>1243</v>
      </c>
    </row>
    <row r="30" spans="1:13">
      <c r="A30" t="s">
        <v>221</v>
      </c>
    </row>
    <row r="31" spans="1:13">
      <c r="A31" s="7"/>
      <c r="B31" s="7" t="s">
        <v>218</v>
      </c>
      <c r="C31" s="7" t="s">
        <v>219</v>
      </c>
      <c r="D31" s="7" t="s">
        <v>220</v>
      </c>
      <c r="E31" s="24" t="s">
        <v>223</v>
      </c>
    </row>
    <row r="32" spans="1:13">
      <c r="A32" s="5" t="s">
        <v>2</v>
      </c>
      <c r="B32" s="5">
        <v>100</v>
      </c>
      <c r="C32" s="5">
        <v>0</v>
      </c>
      <c r="D32" s="5">
        <f>B32-C32</f>
        <v>100</v>
      </c>
      <c r="E32">
        <v>0</v>
      </c>
    </row>
    <row r="33" spans="1:5">
      <c r="A33" s="5" t="s">
        <v>3</v>
      </c>
      <c r="B33" s="5">
        <v>200</v>
      </c>
      <c r="C33" s="5">
        <v>190</v>
      </c>
      <c r="D33" s="5">
        <f>B33-C33</f>
        <v>10</v>
      </c>
      <c r="E33">
        <v>0</v>
      </c>
    </row>
    <row r="34" spans="1:5">
      <c r="A34" s="5" t="s">
        <v>13</v>
      </c>
      <c r="B34" s="5">
        <v>100</v>
      </c>
      <c r="C34" s="5">
        <v>0</v>
      </c>
      <c r="D34" s="5">
        <f>B34-C34</f>
        <v>100</v>
      </c>
      <c r="E34" t="s">
        <v>224</v>
      </c>
    </row>
    <row r="35" spans="1:5">
      <c r="A35" s="5" t="s">
        <v>225</v>
      </c>
      <c r="B35" s="5">
        <v>100</v>
      </c>
      <c r="C35" s="5">
        <v>0</v>
      </c>
      <c r="D35" s="5">
        <f>B35-C35</f>
        <v>100</v>
      </c>
      <c r="E35" t="s">
        <v>226</v>
      </c>
    </row>
    <row r="41" spans="1:5">
      <c r="A41" t="s">
        <v>222</v>
      </c>
    </row>
    <row r="42" spans="1:5">
      <c r="A42" s="7"/>
      <c r="B42" s="7" t="s">
        <v>218</v>
      </c>
      <c r="C42" s="7" t="s">
        <v>219</v>
      </c>
      <c r="D42" s="7" t="s">
        <v>220</v>
      </c>
    </row>
    <row r="43" spans="1:5">
      <c r="A43" s="5" t="s">
        <v>3</v>
      </c>
      <c r="B43" s="5">
        <v>200</v>
      </c>
      <c r="C43" s="5">
        <v>190</v>
      </c>
      <c r="D43" s="5">
        <f>B43-C43</f>
        <v>10</v>
      </c>
    </row>
    <row r="44" spans="1:5">
      <c r="A44" s="5" t="s">
        <v>13</v>
      </c>
      <c r="B44" s="5">
        <v>100</v>
      </c>
      <c r="C44" s="5">
        <v>0</v>
      </c>
      <c r="D44" s="5">
        <f>B44-C44</f>
        <v>100</v>
      </c>
    </row>
  </sheetData>
  <mergeCells count="2">
    <mergeCell ref="B1:H1"/>
    <mergeCell ref="B9:H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topLeftCell="A61" workbookViewId="0">
      <selection activeCell="B22" sqref="B22"/>
    </sheetView>
  </sheetViews>
  <sheetFormatPr defaultRowHeight="15"/>
  <cols>
    <col min="2" max="2" width="28.7109375" customWidth="1"/>
    <col min="3" max="3" width="14.42578125" customWidth="1"/>
    <col min="4" max="4" width="20.140625" customWidth="1"/>
    <col min="7" max="7" width="37.140625" bestFit="1" customWidth="1"/>
    <col min="8" max="8" width="21.85546875" customWidth="1"/>
    <col min="9" max="10" width="12.140625" customWidth="1"/>
    <col min="12" max="12" width="20.42578125" customWidth="1"/>
    <col min="13" max="13" width="18.42578125" customWidth="1"/>
    <col min="17" max="17" width="22.7109375" customWidth="1"/>
    <col min="18" max="18" width="14.140625" customWidth="1"/>
    <col min="19" max="19" width="12.85546875" customWidth="1"/>
  </cols>
  <sheetData>
    <row r="1" spans="1:20" ht="15.75">
      <c r="A1" s="34" t="s">
        <v>38</v>
      </c>
      <c r="B1" s="34"/>
      <c r="C1" s="34"/>
      <c r="D1" s="34"/>
      <c r="F1" s="34" t="s">
        <v>39</v>
      </c>
      <c r="G1" s="34"/>
      <c r="H1" s="34"/>
      <c r="I1" s="34"/>
      <c r="J1" s="9"/>
      <c r="K1" s="35" t="s">
        <v>81</v>
      </c>
      <c r="L1" s="35"/>
      <c r="M1" s="35"/>
      <c r="N1" s="35"/>
      <c r="Q1" s="34" t="s">
        <v>75</v>
      </c>
      <c r="R1" s="34"/>
      <c r="S1" s="34"/>
      <c r="T1" s="34"/>
    </row>
    <row r="2" spans="1:20">
      <c r="A2" s="7" t="s">
        <v>15</v>
      </c>
      <c r="B2" s="7" t="s">
        <v>16</v>
      </c>
      <c r="C2" s="7" t="s">
        <v>17</v>
      </c>
      <c r="D2" s="7" t="s">
        <v>18</v>
      </c>
      <c r="F2" s="7" t="s">
        <v>15</v>
      </c>
      <c r="G2" s="7" t="s">
        <v>16</v>
      </c>
      <c r="H2" s="7" t="s">
        <v>17</v>
      </c>
      <c r="I2" s="7" t="s">
        <v>18</v>
      </c>
      <c r="J2" s="12"/>
      <c r="K2" s="7" t="s">
        <v>15</v>
      </c>
      <c r="L2" s="7" t="s">
        <v>16</v>
      </c>
      <c r="M2" s="7" t="s">
        <v>17</v>
      </c>
      <c r="N2" s="13" t="s">
        <v>18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80</v>
      </c>
    </row>
    <row r="3" spans="1:20">
      <c r="A3" s="5">
        <v>1</v>
      </c>
      <c r="B3" s="5" t="s">
        <v>19</v>
      </c>
      <c r="C3" s="5" t="s">
        <v>20</v>
      </c>
      <c r="D3" s="5" t="s">
        <v>21</v>
      </c>
      <c r="F3" s="5">
        <v>1</v>
      </c>
      <c r="G3" s="5" t="s">
        <v>40</v>
      </c>
      <c r="H3" s="5" t="s">
        <v>23</v>
      </c>
      <c r="I3" s="5"/>
      <c r="J3" s="10"/>
      <c r="K3" s="5">
        <v>1</v>
      </c>
      <c r="L3" s="5" t="s">
        <v>19</v>
      </c>
      <c r="M3" s="5" t="s">
        <v>20</v>
      </c>
      <c r="P3" s="5">
        <v>1</v>
      </c>
      <c r="Q3" s="5" t="s">
        <v>75</v>
      </c>
      <c r="R3" s="5" t="s">
        <v>23</v>
      </c>
      <c r="S3" s="5"/>
      <c r="T3" s="5"/>
    </row>
    <row r="4" spans="1:20">
      <c r="A4" s="5">
        <v>2</v>
      </c>
      <c r="B4" s="5" t="s">
        <v>40</v>
      </c>
      <c r="C4" s="5" t="s">
        <v>23</v>
      </c>
      <c r="D4" s="5"/>
      <c r="F4" s="8">
        <v>2</v>
      </c>
      <c r="G4" s="8" t="s">
        <v>41</v>
      </c>
      <c r="H4" s="8" t="s">
        <v>61</v>
      </c>
      <c r="I4" s="8" t="s">
        <v>61</v>
      </c>
      <c r="J4" s="11"/>
      <c r="K4" s="5">
        <v>2</v>
      </c>
      <c r="L4" s="5" t="s">
        <v>22</v>
      </c>
      <c r="M4" s="5" t="s">
        <v>23</v>
      </c>
      <c r="P4" s="5">
        <v>2</v>
      </c>
      <c r="Q4" s="5" t="s">
        <v>40</v>
      </c>
      <c r="R4" s="5" t="s">
        <v>23</v>
      </c>
      <c r="S4" s="5"/>
      <c r="T4" s="5"/>
    </row>
    <row r="5" spans="1:20">
      <c r="A5" s="5">
        <v>3</v>
      </c>
      <c r="B5" s="8" t="s">
        <v>42</v>
      </c>
      <c r="C5" s="5"/>
      <c r="D5" s="5"/>
      <c r="F5" s="8">
        <v>3</v>
      </c>
      <c r="G5" s="8" t="s">
        <v>42</v>
      </c>
      <c r="H5" s="8" t="s">
        <v>61</v>
      </c>
      <c r="I5" s="5"/>
      <c r="J5" s="10"/>
      <c r="K5" s="5">
        <v>3</v>
      </c>
      <c r="L5" s="5" t="s">
        <v>24</v>
      </c>
      <c r="M5" s="5" t="s">
        <v>23</v>
      </c>
      <c r="P5" s="8">
        <v>3</v>
      </c>
      <c r="Q5" s="8" t="s">
        <v>76</v>
      </c>
      <c r="R5" s="5" t="s">
        <v>23</v>
      </c>
      <c r="S5" s="5"/>
      <c r="T5" s="5"/>
    </row>
    <row r="6" spans="1:20" ht="15.75" customHeight="1">
      <c r="A6" s="5">
        <v>4</v>
      </c>
      <c r="B6" s="5" t="s">
        <v>67</v>
      </c>
      <c r="C6" s="5" t="s">
        <v>25</v>
      </c>
      <c r="D6" s="5"/>
      <c r="F6" s="5">
        <v>4</v>
      </c>
      <c r="G6" s="5" t="s">
        <v>43</v>
      </c>
      <c r="H6" s="5" t="s">
        <v>62</v>
      </c>
      <c r="I6" s="5"/>
      <c r="J6" s="10"/>
      <c r="K6" s="5">
        <v>4</v>
      </c>
      <c r="L6" s="5" t="s">
        <v>14</v>
      </c>
      <c r="M6" s="5" t="s">
        <v>28</v>
      </c>
      <c r="P6" s="5">
        <v>4</v>
      </c>
      <c r="Q6" s="5" t="s">
        <v>24</v>
      </c>
      <c r="R6" s="5" t="s">
        <v>23</v>
      </c>
      <c r="S6" s="5"/>
      <c r="T6" s="5"/>
    </row>
    <row r="7" spans="1:20" ht="15.75" customHeight="1">
      <c r="A7" s="5">
        <v>5</v>
      </c>
      <c r="B7" s="5" t="s">
        <v>68</v>
      </c>
      <c r="C7" s="5" t="s">
        <v>26</v>
      </c>
      <c r="D7" s="5"/>
      <c r="F7" s="5">
        <v>5</v>
      </c>
      <c r="G7" s="5" t="s">
        <v>44</v>
      </c>
      <c r="H7" s="5" t="s">
        <v>61</v>
      </c>
      <c r="I7" s="5"/>
      <c r="J7" s="10"/>
      <c r="K7" s="5">
        <v>5</v>
      </c>
      <c r="L7" s="5" t="s">
        <v>27</v>
      </c>
      <c r="M7" s="5" t="s">
        <v>23</v>
      </c>
      <c r="P7" s="5">
        <v>5</v>
      </c>
      <c r="Q7" s="5" t="s">
        <v>14</v>
      </c>
      <c r="R7" s="5" t="s">
        <v>77</v>
      </c>
      <c r="S7" s="5"/>
      <c r="T7" s="5"/>
    </row>
    <row r="8" spans="1:20">
      <c r="A8" s="8">
        <v>6</v>
      </c>
      <c r="B8" s="8" t="s">
        <v>47</v>
      </c>
      <c r="C8" s="8" t="s">
        <v>23</v>
      </c>
      <c r="D8" s="5"/>
      <c r="F8" s="5">
        <v>6</v>
      </c>
      <c r="G8" s="5" t="s">
        <v>45</v>
      </c>
      <c r="H8" s="5" t="s">
        <v>63</v>
      </c>
      <c r="I8" s="5"/>
      <c r="J8" s="10"/>
      <c r="K8" s="5">
        <v>6</v>
      </c>
      <c r="L8" s="5" t="s">
        <v>1</v>
      </c>
      <c r="M8" s="5" t="s">
        <v>28</v>
      </c>
      <c r="P8" s="8">
        <v>6</v>
      </c>
      <c r="Q8" s="5" t="s">
        <v>27</v>
      </c>
      <c r="R8" s="5" t="s">
        <v>23</v>
      </c>
      <c r="S8" s="5"/>
      <c r="T8" s="5"/>
    </row>
    <row r="9" spans="1:20" ht="15.75" customHeight="1">
      <c r="A9" s="5">
        <v>18</v>
      </c>
      <c r="B9" s="5" t="s">
        <v>69</v>
      </c>
      <c r="C9" s="5"/>
      <c r="D9" s="5"/>
      <c r="F9" s="5">
        <v>15</v>
      </c>
      <c r="G9" s="5" t="s">
        <v>31</v>
      </c>
      <c r="H9" s="5" t="s">
        <v>64</v>
      </c>
      <c r="I9" s="5"/>
      <c r="J9" s="10"/>
      <c r="K9" s="5">
        <v>7</v>
      </c>
      <c r="L9" s="5" t="s">
        <v>32</v>
      </c>
      <c r="M9" s="5" t="s">
        <v>62</v>
      </c>
      <c r="P9" s="5">
        <v>7</v>
      </c>
      <c r="Q9" s="5" t="s">
        <v>79</v>
      </c>
      <c r="R9" s="5" t="s">
        <v>62</v>
      </c>
      <c r="S9" s="5"/>
      <c r="T9" s="5"/>
    </row>
    <row r="10" spans="1:20">
      <c r="A10" s="5">
        <v>19</v>
      </c>
      <c r="B10" s="5" t="s">
        <v>70</v>
      </c>
      <c r="C10" s="5" t="s">
        <v>23</v>
      </c>
      <c r="D10" s="5"/>
      <c r="F10" s="5">
        <v>16</v>
      </c>
      <c r="G10" s="5" t="s">
        <v>48</v>
      </c>
      <c r="H10" s="5" t="s">
        <v>65</v>
      </c>
      <c r="I10" s="5"/>
      <c r="J10" s="10"/>
      <c r="K10" s="5">
        <v>8</v>
      </c>
      <c r="L10" s="5" t="s">
        <v>33</v>
      </c>
      <c r="M10" s="5" t="s">
        <v>62</v>
      </c>
      <c r="P10" s="5">
        <v>8</v>
      </c>
      <c r="Q10" s="5" t="s">
        <v>33</v>
      </c>
      <c r="R10" s="5" t="s">
        <v>62</v>
      </c>
      <c r="S10" s="5"/>
      <c r="T10" s="5"/>
    </row>
    <row r="11" spans="1:20">
      <c r="A11" s="5">
        <v>20</v>
      </c>
      <c r="B11" s="5" t="s">
        <v>71</v>
      </c>
      <c r="C11" s="5" t="s">
        <v>23</v>
      </c>
      <c r="D11" s="5"/>
      <c r="F11" s="5">
        <v>17</v>
      </c>
      <c r="G11" s="5" t="s">
        <v>49</v>
      </c>
      <c r="H11" s="5" t="s">
        <v>65</v>
      </c>
      <c r="I11" s="5"/>
      <c r="J11" s="10"/>
      <c r="K11" s="5">
        <v>9</v>
      </c>
      <c r="L11" s="5" t="s">
        <v>34</v>
      </c>
      <c r="M11" s="5" t="s">
        <v>23</v>
      </c>
      <c r="P11" s="8">
        <v>9</v>
      </c>
      <c r="Q11" s="8" t="s">
        <v>29</v>
      </c>
      <c r="R11" s="8" t="s">
        <v>28</v>
      </c>
    </row>
    <row r="12" spans="1:20">
      <c r="A12" s="5">
        <v>21</v>
      </c>
      <c r="B12" s="5" t="s">
        <v>72</v>
      </c>
      <c r="C12" s="5"/>
      <c r="D12" s="5"/>
      <c r="F12" s="5">
        <v>18</v>
      </c>
      <c r="G12" s="5" t="s">
        <v>50</v>
      </c>
      <c r="H12" s="5" t="s">
        <v>23</v>
      </c>
      <c r="I12" s="5"/>
      <c r="J12" s="10"/>
      <c r="K12" s="5">
        <v>10</v>
      </c>
      <c r="L12" s="5" t="s">
        <v>35</v>
      </c>
      <c r="M12" s="5" t="s">
        <v>26</v>
      </c>
      <c r="P12" s="5">
        <v>10</v>
      </c>
      <c r="Q12" s="8" t="s">
        <v>7</v>
      </c>
      <c r="R12" s="8" t="s">
        <v>28</v>
      </c>
    </row>
    <row r="13" spans="1:20">
      <c r="A13" s="5">
        <v>22</v>
      </c>
      <c r="B13" s="5" t="s">
        <v>73</v>
      </c>
      <c r="C13" s="5"/>
      <c r="D13" s="5"/>
      <c r="F13" s="5">
        <v>19</v>
      </c>
      <c r="G13" s="5" t="s">
        <v>51</v>
      </c>
      <c r="H13" s="5" t="s">
        <v>64</v>
      </c>
      <c r="I13" s="5"/>
      <c r="J13" s="10"/>
      <c r="K13" s="5">
        <v>11</v>
      </c>
      <c r="L13" s="5" t="s">
        <v>36</v>
      </c>
      <c r="M13" s="5" t="s">
        <v>20</v>
      </c>
      <c r="P13" s="5">
        <v>11</v>
      </c>
      <c r="Q13" s="8" t="s">
        <v>30</v>
      </c>
      <c r="R13" s="8" t="s">
        <v>28</v>
      </c>
    </row>
    <row r="14" spans="1:20">
      <c r="A14" s="5">
        <v>23</v>
      </c>
      <c r="B14" s="5" t="s">
        <v>74</v>
      </c>
      <c r="C14" s="5" t="s">
        <v>95</v>
      </c>
      <c r="D14" s="5"/>
      <c r="F14" s="8">
        <v>20</v>
      </c>
      <c r="G14" s="8" t="s">
        <v>52</v>
      </c>
      <c r="H14" s="8" t="s">
        <v>63</v>
      </c>
      <c r="I14" s="8"/>
      <c r="J14" s="11"/>
      <c r="K14" s="5">
        <v>12</v>
      </c>
      <c r="L14" s="5" t="s">
        <v>37</v>
      </c>
      <c r="M14" s="5" t="s">
        <v>26</v>
      </c>
      <c r="P14" s="8">
        <v>12</v>
      </c>
      <c r="Q14" s="22" t="s">
        <v>176</v>
      </c>
      <c r="R14" s="8" t="s">
        <v>28</v>
      </c>
    </row>
    <row r="15" spans="1:20">
      <c r="F15" s="5">
        <v>24</v>
      </c>
      <c r="G15" s="5" t="s">
        <v>54</v>
      </c>
      <c r="H15" s="5" t="s">
        <v>63</v>
      </c>
      <c r="I15" s="5"/>
      <c r="J15" s="10"/>
      <c r="K15" s="5">
        <v>13</v>
      </c>
      <c r="L15" s="5" t="s">
        <v>75</v>
      </c>
      <c r="M15" s="5" t="s">
        <v>23</v>
      </c>
      <c r="P15" s="5">
        <v>13</v>
      </c>
      <c r="Q15" s="22" t="s">
        <v>177</v>
      </c>
      <c r="R15" s="8" t="s">
        <v>28</v>
      </c>
    </row>
    <row r="16" spans="1:20">
      <c r="F16" s="5">
        <v>25</v>
      </c>
      <c r="G16" s="5" t="s">
        <v>55</v>
      </c>
      <c r="H16" s="5" t="s">
        <v>23</v>
      </c>
      <c r="I16" s="5"/>
      <c r="J16" s="10"/>
      <c r="K16" s="23">
        <v>14</v>
      </c>
      <c r="L16" s="23" t="s">
        <v>79</v>
      </c>
    </row>
    <row r="17" spans="1:10">
      <c r="F17" s="5">
        <v>26</v>
      </c>
      <c r="G17" s="5" t="s">
        <v>56</v>
      </c>
      <c r="H17" s="5" t="s">
        <v>23</v>
      </c>
      <c r="I17" s="5"/>
      <c r="J17" s="10"/>
    </row>
    <row r="18" spans="1:10">
      <c r="F18" s="5">
        <v>27</v>
      </c>
      <c r="G18" s="5" t="s">
        <v>57</v>
      </c>
      <c r="H18" s="5" t="s">
        <v>61</v>
      </c>
      <c r="I18" s="5"/>
      <c r="J18" s="10"/>
    </row>
    <row r="19" spans="1:10">
      <c r="F19" s="5">
        <v>28</v>
      </c>
      <c r="G19" s="5" t="s">
        <v>33</v>
      </c>
      <c r="H19" s="5" t="s">
        <v>66</v>
      </c>
      <c r="I19" s="5"/>
      <c r="J19" s="10"/>
    </row>
    <row r="20" spans="1:10">
      <c r="F20" s="5">
        <v>29</v>
      </c>
      <c r="G20" s="5" t="s">
        <v>58</v>
      </c>
      <c r="H20" s="5" t="s">
        <v>66</v>
      </c>
      <c r="I20" s="5"/>
      <c r="J20" s="10"/>
    </row>
    <row r="21" spans="1:10">
      <c r="F21" s="5">
        <v>30</v>
      </c>
      <c r="G21" s="5" t="s">
        <v>59</v>
      </c>
      <c r="H21" s="5" t="s">
        <v>66</v>
      </c>
      <c r="I21" s="5"/>
      <c r="J21" s="10"/>
    </row>
    <row r="22" spans="1:10">
      <c r="F22" s="5">
        <v>31</v>
      </c>
      <c r="G22" s="5" t="s">
        <v>60</v>
      </c>
      <c r="H22" s="5" t="s">
        <v>23</v>
      </c>
      <c r="I22" s="5"/>
      <c r="J22" s="10"/>
    </row>
    <row r="23" spans="1:10">
      <c r="F23" s="5">
        <v>32</v>
      </c>
      <c r="G23" s="5" t="s">
        <v>34</v>
      </c>
      <c r="H23" s="5" t="s">
        <v>23</v>
      </c>
      <c r="I23" s="5"/>
      <c r="J23" s="10"/>
    </row>
    <row r="24" spans="1:10">
      <c r="F24" s="5">
        <v>33</v>
      </c>
      <c r="G24" s="5" t="s">
        <v>35</v>
      </c>
      <c r="H24" s="5" t="s">
        <v>63</v>
      </c>
      <c r="I24" s="5"/>
      <c r="J24" s="10"/>
    </row>
    <row r="25" spans="1:10">
      <c r="F25" s="5">
        <v>34</v>
      </c>
      <c r="G25" s="5" t="s">
        <v>36</v>
      </c>
      <c r="H25" s="5" t="s">
        <v>23</v>
      </c>
      <c r="I25" s="5"/>
      <c r="J25" s="10"/>
    </row>
    <row r="26" spans="1:10">
      <c r="F26" s="5">
        <v>35</v>
      </c>
      <c r="G26" s="5" t="s">
        <v>37</v>
      </c>
      <c r="H26" s="5" t="s">
        <v>63</v>
      </c>
      <c r="I26" s="5"/>
      <c r="J26" s="10"/>
    </row>
    <row r="29" spans="1:10" ht="15.75">
      <c r="A29" s="33" t="s">
        <v>82</v>
      </c>
      <c r="B29" s="33"/>
      <c r="C29" s="33"/>
      <c r="D29" s="33"/>
    </row>
    <row r="30" spans="1:10">
      <c r="A30" s="7" t="s">
        <v>15</v>
      </c>
      <c r="B30" s="7" t="s">
        <v>16</v>
      </c>
      <c r="C30" s="7" t="s">
        <v>17</v>
      </c>
      <c r="D30" s="7" t="s">
        <v>18</v>
      </c>
    </row>
    <row r="31" spans="1:10">
      <c r="A31" s="5">
        <v>1</v>
      </c>
      <c r="B31" s="5" t="s">
        <v>83</v>
      </c>
      <c r="C31" s="5" t="s">
        <v>20</v>
      </c>
      <c r="D31" s="5" t="s">
        <v>21</v>
      </c>
    </row>
    <row r="32" spans="1:10">
      <c r="A32" s="5">
        <v>2</v>
      </c>
      <c r="B32" s="5" t="s">
        <v>22</v>
      </c>
      <c r="C32" s="5" t="s">
        <v>23</v>
      </c>
      <c r="D32" s="5"/>
    </row>
    <row r="33" spans="1:4">
      <c r="A33" s="5">
        <v>3</v>
      </c>
      <c r="B33" s="5" t="s">
        <v>84</v>
      </c>
      <c r="C33" s="5"/>
      <c r="D33" s="5"/>
    </row>
    <row r="34" spans="1:4">
      <c r="A34" s="5">
        <v>4</v>
      </c>
      <c r="B34" s="5" t="s">
        <v>86</v>
      </c>
      <c r="C34" s="5" t="s">
        <v>25</v>
      </c>
      <c r="D34" s="5"/>
    </row>
    <row r="35" spans="1:4">
      <c r="A35" s="5">
        <v>5</v>
      </c>
      <c r="B35" s="5" t="s">
        <v>85</v>
      </c>
      <c r="C35" s="5" t="s">
        <v>26</v>
      </c>
      <c r="D35" s="5"/>
    </row>
    <row r="36" spans="1:4">
      <c r="A36" s="5">
        <v>6</v>
      </c>
      <c r="B36" s="5" t="s">
        <v>87</v>
      </c>
      <c r="C36" s="5" t="s">
        <v>23</v>
      </c>
      <c r="D36" s="5"/>
    </row>
    <row r="37" spans="1:4">
      <c r="A37" s="5">
        <v>7</v>
      </c>
      <c r="B37" s="14" t="s">
        <v>88</v>
      </c>
      <c r="C37" s="5"/>
      <c r="D37" s="5"/>
    </row>
    <row r="38" spans="1:4">
      <c r="A38" s="5">
        <v>8</v>
      </c>
      <c r="B38" s="14" t="s">
        <v>89</v>
      </c>
      <c r="C38" s="5"/>
      <c r="D38" s="5"/>
    </row>
    <row r="41" spans="1:4" ht="15.75">
      <c r="A41" s="33" t="s">
        <v>90</v>
      </c>
      <c r="B41" s="33"/>
      <c r="C41" s="33"/>
      <c r="D41" s="33"/>
    </row>
    <row r="42" spans="1:4">
      <c r="A42" s="7" t="s">
        <v>15</v>
      </c>
      <c r="B42" s="7" t="s">
        <v>16</v>
      </c>
      <c r="C42" s="7" t="s">
        <v>17</v>
      </c>
      <c r="D42" s="7" t="s">
        <v>18</v>
      </c>
    </row>
    <row r="43" spans="1:4">
      <c r="A43" s="5">
        <v>1</v>
      </c>
      <c r="B43" s="5" t="s">
        <v>91</v>
      </c>
      <c r="C43" s="5" t="s">
        <v>20</v>
      </c>
      <c r="D43" s="5" t="s">
        <v>21</v>
      </c>
    </row>
    <row r="44" spans="1:4">
      <c r="A44" s="5">
        <v>2</v>
      </c>
      <c r="B44" s="5" t="s">
        <v>92</v>
      </c>
      <c r="C44" s="5" t="s">
        <v>23</v>
      </c>
      <c r="D44" s="5"/>
    </row>
    <row r="45" spans="1:4">
      <c r="A45" s="5">
        <v>3</v>
      </c>
      <c r="B45" s="5" t="s">
        <v>24</v>
      </c>
      <c r="C45" s="5"/>
      <c r="D45" s="5"/>
    </row>
    <row r="46" spans="1:4">
      <c r="A46" s="5">
        <v>4</v>
      </c>
      <c r="B46" s="5" t="s">
        <v>14</v>
      </c>
      <c r="C46" s="5" t="s">
        <v>25</v>
      </c>
      <c r="D46" s="5"/>
    </row>
    <row r="47" spans="1:4">
      <c r="A47" s="5">
        <v>5</v>
      </c>
      <c r="B47" s="5" t="s">
        <v>93</v>
      </c>
      <c r="C47" s="5" t="s">
        <v>26</v>
      </c>
      <c r="D47" s="5"/>
    </row>
    <row r="48" spans="1:4">
      <c r="A48" s="5">
        <v>6</v>
      </c>
      <c r="B48" s="5" t="s">
        <v>94</v>
      </c>
      <c r="C48" s="5" t="s">
        <v>23</v>
      </c>
      <c r="D48" s="5"/>
    </row>
    <row r="49" spans="1:4">
      <c r="A49" s="5"/>
      <c r="B49" s="14"/>
      <c r="C49" s="5"/>
      <c r="D49" s="5"/>
    </row>
    <row r="50" spans="1:4">
      <c r="A50" s="5"/>
      <c r="B50" s="14"/>
      <c r="C50" s="5"/>
      <c r="D50" s="5"/>
    </row>
  </sheetData>
  <mergeCells count="6">
    <mergeCell ref="A41:D41"/>
    <mergeCell ref="A1:D1"/>
    <mergeCell ref="F1:I1"/>
    <mergeCell ref="Q1:T1"/>
    <mergeCell ref="K1:N1"/>
    <mergeCell ref="A29:D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>
      <selection activeCell="A23" sqref="A23"/>
    </sheetView>
  </sheetViews>
  <sheetFormatPr defaultRowHeight="15"/>
  <cols>
    <col min="1" max="1" width="31.140625" customWidth="1"/>
    <col min="2" max="2" width="18" bestFit="1" customWidth="1"/>
    <col min="3" max="3" width="33.5703125" customWidth="1"/>
    <col min="4" max="4" width="18.42578125" bestFit="1" customWidth="1"/>
    <col min="5" max="5" width="18" bestFit="1" customWidth="1"/>
  </cols>
  <sheetData>
    <row r="1" spans="1:6">
      <c r="A1" s="15" t="s">
        <v>96</v>
      </c>
      <c r="B1" s="16" t="s">
        <v>97</v>
      </c>
      <c r="C1" s="16" t="s">
        <v>98</v>
      </c>
      <c r="D1" s="16" t="s">
        <v>99</v>
      </c>
      <c r="E1" s="15" t="s">
        <v>100</v>
      </c>
      <c r="F1" s="16" t="s">
        <v>101</v>
      </c>
    </row>
    <row r="2" spans="1:6">
      <c r="A2" t="s">
        <v>109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</row>
    <row r="3" spans="1:6">
      <c r="A3" t="s">
        <v>108</v>
      </c>
      <c r="B3" s="17" t="s">
        <v>109</v>
      </c>
      <c r="C3" t="s">
        <v>103</v>
      </c>
      <c r="D3" t="s">
        <v>104</v>
      </c>
      <c r="E3" t="s">
        <v>102</v>
      </c>
      <c r="F3" t="s">
        <v>110</v>
      </c>
    </row>
    <row r="4" spans="1:6">
      <c r="A4" t="s">
        <v>46</v>
      </c>
      <c r="B4" s="17" t="s">
        <v>111</v>
      </c>
      <c r="C4" t="s">
        <v>112</v>
      </c>
      <c r="D4" t="s">
        <v>24</v>
      </c>
      <c r="E4" t="s">
        <v>113</v>
      </c>
      <c r="F4" t="s">
        <v>114</v>
      </c>
    </row>
    <row r="5" spans="1:6">
      <c r="A5" t="s">
        <v>115</v>
      </c>
      <c r="B5" t="s">
        <v>116</v>
      </c>
      <c r="C5" t="s">
        <v>117</v>
      </c>
      <c r="D5" t="s">
        <v>14</v>
      </c>
      <c r="E5" t="s">
        <v>118</v>
      </c>
    </row>
    <row r="6" spans="1:6">
      <c r="A6" t="s">
        <v>60</v>
      </c>
      <c r="B6" t="s">
        <v>119</v>
      </c>
      <c r="C6" t="s">
        <v>53</v>
      </c>
      <c r="D6" t="s">
        <v>53</v>
      </c>
      <c r="E6" t="s">
        <v>53</v>
      </c>
    </row>
    <row r="7" spans="1:6">
      <c r="A7" t="s">
        <v>120</v>
      </c>
      <c r="B7" t="s">
        <v>121</v>
      </c>
      <c r="C7" t="s">
        <v>122</v>
      </c>
      <c r="D7" t="s">
        <v>123</v>
      </c>
      <c r="E7" t="s">
        <v>34</v>
      </c>
    </row>
    <row r="8" spans="1:6">
      <c r="A8" t="s">
        <v>124</v>
      </c>
      <c r="B8" t="s">
        <v>125</v>
      </c>
      <c r="C8" t="s">
        <v>69</v>
      </c>
      <c r="E8" t="s">
        <v>35</v>
      </c>
    </row>
    <row r="9" spans="1:6">
      <c r="A9" t="s">
        <v>126</v>
      </c>
      <c r="B9" t="s">
        <v>127</v>
      </c>
      <c r="C9" t="s">
        <v>34</v>
      </c>
    </row>
    <row r="10" spans="1:6">
      <c r="A10" s="18" t="s">
        <v>128</v>
      </c>
      <c r="B10" t="s">
        <v>129</v>
      </c>
      <c r="C10" t="s">
        <v>35</v>
      </c>
    </row>
    <row r="11" spans="1:6">
      <c r="A11" s="18" t="s">
        <v>130</v>
      </c>
      <c r="B11" t="s">
        <v>131</v>
      </c>
    </row>
    <row r="12" spans="1:6">
      <c r="A12" s="18" t="s">
        <v>132</v>
      </c>
      <c r="B12" t="s">
        <v>133</v>
      </c>
    </row>
    <row r="13" spans="1:6">
      <c r="A13" t="s">
        <v>125</v>
      </c>
      <c r="B13" t="s">
        <v>134</v>
      </c>
    </row>
    <row r="14" spans="1:6">
      <c r="A14" s="18" t="s">
        <v>135</v>
      </c>
      <c r="B14" t="s">
        <v>136</v>
      </c>
    </row>
    <row r="15" spans="1:6">
      <c r="A15" s="18" t="s">
        <v>53</v>
      </c>
      <c r="B15" t="s">
        <v>34</v>
      </c>
    </row>
    <row r="16" spans="1:6">
      <c r="A16" t="s">
        <v>137</v>
      </c>
      <c r="B16" t="s">
        <v>35</v>
      </c>
    </row>
    <row r="17" spans="1:3" ht="30">
      <c r="A17" s="19" t="s">
        <v>138</v>
      </c>
      <c r="B17" t="s">
        <v>139</v>
      </c>
    </row>
    <row r="18" spans="1:3">
      <c r="A18" s="20" t="s">
        <v>140</v>
      </c>
    </row>
    <row r="19" spans="1:3">
      <c r="A19" t="s">
        <v>141</v>
      </c>
    </row>
    <row r="20" spans="1:3">
      <c r="A20" s="21" t="s">
        <v>35</v>
      </c>
    </row>
    <row r="21" spans="1:3">
      <c r="A21" s="21" t="s">
        <v>34</v>
      </c>
    </row>
    <row r="26" spans="1:3">
      <c r="B26" t="s">
        <v>142</v>
      </c>
      <c r="C26" t="s">
        <v>143</v>
      </c>
    </row>
    <row r="27" spans="1:3">
      <c r="B27" t="s">
        <v>144</v>
      </c>
      <c r="C27" t="s">
        <v>145</v>
      </c>
    </row>
    <row r="28" spans="1:3">
      <c r="B28" t="s">
        <v>146</v>
      </c>
      <c r="C28" t="s">
        <v>147</v>
      </c>
    </row>
    <row r="29" spans="1:3">
      <c r="B29" t="s">
        <v>148</v>
      </c>
      <c r="C29" t="s">
        <v>149</v>
      </c>
    </row>
    <row r="30" spans="1:3">
      <c r="B30" t="s">
        <v>150</v>
      </c>
      <c r="C30" t="s">
        <v>150</v>
      </c>
    </row>
    <row r="31" spans="1:3">
      <c r="B31" t="s">
        <v>151</v>
      </c>
      <c r="C31" t="s">
        <v>152</v>
      </c>
    </row>
    <row r="32" spans="1:3">
      <c r="B32" t="s">
        <v>153</v>
      </c>
      <c r="C32" t="s">
        <v>154</v>
      </c>
    </row>
    <row r="33" spans="2:3">
      <c r="B33" t="s">
        <v>155</v>
      </c>
      <c r="C33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topLeftCell="A4" workbookViewId="0">
      <selection activeCell="B24" sqref="B24"/>
    </sheetView>
  </sheetViews>
  <sheetFormatPr defaultRowHeight="15"/>
  <cols>
    <col min="1" max="1" width="42.7109375" customWidth="1"/>
    <col min="2" max="2" width="24.140625" customWidth="1"/>
    <col min="3" max="3" width="19.28515625" customWidth="1"/>
    <col min="4" max="4" width="25.5703125" customWidth="1"/>
    <col min="5" max="5" width="19.28515625" customWidth="1"/>
  </cols>
  <sheetData>
    <row r="1" spans="1:5">
      <c r="B1" s="16" t="s">
        <v>228</v>
      </c>
      <c r="D1" s="16" t="s">
        <v>212</v>
      </c>
    </row>
    <row r="2" spans="1:5">
      <c r="A2" s="16" t="s">
        <v>227</v>
      </c>
      <c r="B2" t="s">
        <v>167</v>
      </c>
      <c r="D2" t="s">
        <v>182</v>
      </c>
      <c r="E2" t="s">
        <v>23</v>
      </c>
    </row>
    <row r="3" spans="1:5">
      <c r="A3" t="s">
        <v>162</v>
      </c>
      <c r="B3" t="s">
        <v>162</v>
      </c>
      <c r="D3" t="s">
        <v>183</v>
      </c>
      <c r="E3" t="s">
        <v>23</v>
      </c>
    </row>
    <row r="4" spans="1:5">
      <c r="A4" t="s">
        <v>108</v>
      </c>
      <c r="B4" t="s">
        <v>167</v>
      </c>
      <c r="D4" t="s">
        <v>184</v>
      </c>
      <c r="E4" t="s">
        <v>61</v>
      </c>
    </row>
    <row r="5" spans="1:5">
      <c r="A5" t="s">
        <v>141</v>
      </c>
      <c r="B5" t="s">
        <v>168</v>
      </c>
      <c r="D5" t="s">
        <v>24</v>
      </c>
      <c r="E5" t="s">
        <v>23</v>
      </c>
    </row>
    <row r="6" spans="1:5">
      <c r="A6" t="s">
        <v>46</v>
      </c>
      <c r="B6" t="s">
        <v>121</v>
      </c>
      <c r="D6" t="s">
        <v>185</v>
      </c>
      <c r="E6" t="s">
        <v>23</v>
      </c>
    </row>
    <row r="7" spans="1:5">
      <c r="A7" t="s">
        <v>115</v>
      </c>
      <c r="B7" t="s">
        <v>129</v>
      </c>
      <c r="D7" t="s">
        <v>121</v>
      </c>
      <c r="E7" t="s">
        <v>186</v>
      </c>
    </row>
    <row r="8" spans="1:5">
      <c r="A8" t="s">
        <v>60</v>
      </c>
      <c r="B8" t="s">
        <v>127</v>
      </c>
      <c r="D8" t="s">
        <v>187</v>
      </c>
      <c r="E8" t="s">
        <v>188</v>
      </c>
    </row>
    <row r="9" spans="1:5">
      <c r="A9" t="s">
        <v>120</v>
      </c>
      <c r="B9" t="s">
        <v>163</v>
      </c>
      <c r="D9" t="s">
        <v>131</v>
      </c>
      <c r="E9" t="s">
        <v>189</v>
      </c>
    </row>
    <row r="10" spans="1:5">
      <c r="A10" t="s">
        <v>141</v>
      </c>
      <c r="B10" t="s">
        <v>14</v>
      </c>
      <c r="D10" t="s">
        <v>190</v>
      </c>
      <c r="E10" t="s">
        <v>213</v>
      </c>
    </row>
    <row r="11" spans="1:5">
      <c r="A11" t="s">
        <v>78</v>
      </c>
      <c r="B11" t="s">
        <v>1</v>
      </c>
      <c r="D11" t="s">
        <v>191</v>
      </c>
      <c r="E11" t="s">
        <v>192</v>
      </c>
    </row>
    <row r="12" spans="1:5">
      <c r="A12" t="s">
        <v>125</v>
      </c>
      <c r="B12" t="s">
        <v>165</v>
      </c>
      <c r="D12" t="s">
        <v>193</v>
      </c>
      <c r="E12" t="s">
        <v>194</v>
      </c>
    </row>
    <row r="13" spans="1:5">
      <c r="A13" t="s">
        <v>180</v>
      </c>
      <c r="B13" t="s">
        <v>175</v>
      </c>
      <c r="D13" t="s">
        <v>195</v>
      </c>
      <c r="E13" t="s">
        <v>194</v>
      </c>
    </row>
    <row r="14" spans="1:5">
      <c r="A14" t="s">
        <v>157</v>
      </c>
      <c r="B14" t="s">
        <v>169</v>
      </c>
      <c r="D14" t="s">
        <v>196</v>
      </c>
      <c r="E14" t="s">
        <v>194</v>
      </c>
    </row>
    <row r="15" spans="1:5">
      <c r="A15" t="s">
        <v>53</v>
      </c>
      <c r="B15" t="s">
        <v>173</v>
      </c>
      <c r="D15" t="s">
        <v>197</v>
      </c>
      <c r="E15" t="s">
        <v>194</v>
      </c>
    </row>
    <row r="16" spans="1:5">
      <c r="A16" t="s">
        <v>181</v>
      </c>
      <c r="B16" t="s">
        <v>53</v>
      </c>
      <c r="D16" t="s">
        <v>198</v>
      </c>
      <c r="E16" t="s">
        <v>194</v>
      </c>
    </row>
    <row r="17" spans="1:5">
      <c r="A17" s="25" t="s">
        <v>229</v>
      </c>
      <c r="B17" t="s">
        <v>174</v>
      </c>
      <c r="D17" t="s">
        <v>199</v>
      </c>
      <c r="E17" t="s">
        <v>23</v>
      </c>
    </row>
    <row r="18" spans="1:5">
      <c r="A18" t="s">
        <v>42</v>
      </c>
      <c r="B18" t="s">
        <v>166</v>
      </c>
      <c r="D18" t="s">
        <v>200</v>
      </c>
      <c r="E18" t="s">
        <v>23</v>
      </c>
    </row>
    <row r="19" spans="1:5">
      <c r="A19" t="s">
        <v>158</v>
      </c>
      <c r="B19" t="s">
        <v>164</v>
      </c>
      <c r="D19" t="s">
        <v>201</v>
      </c>
      <c r="E19" t="s">
        <v>194</v>
      </c>
    </row>
    <row r="20" spans="1:5">
      <c r="A20" s="25" t="s">
        <v>40</v>
      </c>
      <c r="B20" t="s">
        <v>161</v>
      </c>
      <c r="D20" t="s">
        <v>202</v>
      </c>
      <c r="E20" t="s">
        <v>194</v>
      </c>
    </row>
    <row r="21" spans="1:5">
      <c r="A21" s="25" t="s">
        <v>159</v>
      </c>
      <c r="B21" t="s">
        <v>47</v>
      </c>
      <c r="D21" t="s">
        <v>203</v>
      </c>
      <c r="E21" t="s">
        <v>194</v>
      </c>
    </row>
    <row r="22" spans="1:5">
      <c r="A22" t="s">
        <v>160</v>
      </c>
      <c r="B22" t="s">
        <v>170</v>
      </c>
      <c r="D22" t="s">
        <v>204</v>
      </c>
      <c r="E22" t="s">
        <v>61</v>
      </c>
    </row>
    <row r="23" spans="1:5">
      <c r="B23" t="s">
        <v>171</v>
      </c>
      <c r="D23" t="s">
        <v>205</v>
      </c>
      <c r="E23" t="s">
        <v>194</v>
      </c>
    </row>
    <row r="24" spans="1:5">
      <c r="A24" t="s">
        <v>122</v>
      </c>
      <c r="B24" t="s">
        <v>172</v>
      </c>
      <c r="D24" t="s">
        <v>206</v>
      </c>
      <c r="E24" t="s">
        <v>61</v>
      </c>
    </row>
    <row r="25" spans="1:5">
      <c r="A25" t="s">
        <v>69</v>
      </c>
      <c r="B25" t="s">
        <v>161</v>
      </c>
      <c r="D25" t="s">
        <v>207</v>
      </c>
      <c r="E25" t="s">
        <v>194</v>
      </c>
    </row>
    <row r="26" spans="1:5">
      <c r="A26" t="s">
        <v>24</v>
      </c>
      <c r="D26" t="s">
        <v>208</v>
      </c>
      <c r="E26" t="s">
        <v>194</v>
      </c>
    </row>
    <row r="27" spans="1:5">
      <c r="D27" t="s">
        <v>209</v>
      </c>
      <c r="E27" t="s">
        <v>194</v>
      </c>
    </row>
    <row r="28" spans="1:5">
      <c r="D28" t="s">
        <v>210</v>
      </c>
      <c r="E28" t="s">
        <v>194</v>
      </c>
    </row>
    <row r="29" spans="1:5">
      <c r="D29" t="s">
        <v>211</v>
      </c>
      <c r="E29" t="s">
        <v>194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C22"/>
  <sheetViews>
    <sheetView workbookViewId="0">
      <selection activeCell="A15" sqref="A15"/>
    </sheetView>
  </sheetViews>
  <sheetFormatPr defaultRowHeight="15"/>
  <cols>
    <col min="2" max="2" width="39" bestFit="1" customWidth="1"/>
    <col min="3" max="3" width="22.140625" customWidth="1"/>
  </cols>
  <sheetData>
    <row r="1" spans="2:3">
      <c r="B1" s="16" t="s">
        <v>212</v>
      </c>
      <c r="C1" t="s">
        <v>217</v>
      </c>
    </row>
    <row r="2" spans="2:3">
      <c r="B2" t="s">
        <v>182</v>
      </c>
      <c r="C2" t="s">
        <v>23</v>
      </c>
    </row>
    <row r="3" spans="2:3">
      <c r="B3" t="s">
        <v>183</v>
      </c>
      <c r="C3" t="s">
        <v>23</v>
      </c>
    </row>
    <row r="4" spans="2:3">
      <c r="B4" t="s">
        <v>184</v>
      </c>
      <c r="C4" t="s">
        <v>61</v>
      </c>
    </row>
    <row r="5" spans="2:3">
      <c r="B5" t="s">
        <v>24</v>
      </c>
      <c r="C5" t="s">
        <v>23</v>
      </c>
    </row>
    <row r="6" spans="2:3">
      <c r="B6" t="s">
        <v>185</v>
      </c>
      <c r="C6" t="s">
        <v>23</v>
      </c>
    </row>
    <row r="7" spans="2:3">
      <c r="B7" t="s">
        <v>121</v>
      </c>
      <c r="C7" t="s">
        <v>186</v>
      </c>
    </row>
    <row r="8" spans="2:3">
      <c r="B8" t="s">
        <v>187</v>
      </c>
      <c r="C8" t="s">
        <v>188</v>
      </c>
    </row>
    <row r="9" spans="2:3">
      <c r="B9" t="s">
        <v>190</v>
      </c>
      <c r="C9" t="s">
        <v>23</v>
      </c>
    </row>
    <row r="10" spans="2:3">
      <c r="B10" t="s">
        <v>214</v>
      </c>
      <c r="C10" t="s">
        <v>194</v>
      </c>
    </row>
    <row r="11" spans="2:3">
      <c r="B11" t="s">
        <v>215</v>
      </c>
      <c r="C11" t="s">
        <v>194</v>
      </c>
    </row>
    <row r="12" spans="2:3">
      <c r="B12" t="s">
        <v>196</v>
      </c>
      <c r="C12" t="s">
        <v>194</v>
      </c>
    </row>
    <row r="13" spans="2:3">
      <c r="B13" t="s">
        <v>197</v>
      </c>
      <c r="C13" t="s">
        <v>194</v>
      </c>
    </row>
    <row r="14" spans="2:3">
      <c r="B14" t="s">
        <v>207</v>
      </c>
      <c r="C14" t="s">
        <v>194</v>
      </c>
    </row>
    <row r="15" spans="2:3">
      <c r="B15" t="s">
        <v>208</v>
      </c>
      <c r="C15" t="s">
        <v>194</v>
      </c>
    </row>
    <row r="16" spans="2:3">
      <c r="B16" t="s">
        <v>209</v>
      </c>
      <c r="C16" t="s">
        <v>194</v>
      </c>
    </row>
    <row r="17" spans="2:3">
      <c r="B17" t="s">
        <v>201</v>
      </c>
      <c r="C17" t="s">
        <v>194</v>
      </c>
    </row>
    <row r="18" spans="2:3">
      <c r="B18" t="s">
        <v>216</v>
      </c>
      <c r="C18" t="s">
        <v>194</v>
      </c>
    </row>
    <row r="19" spans="2:3">
      <c r="B19" t="s">
        <v>46</v>
      </c>
      <c r="C19" t="s">
        <v>23</v>
      </c>
    </row>
    <row r="20" spans="2:3">
      <c r="B20" t="s">
        <v>199</v>
      </c>
      <c r="C20" t="s">
        <v>23</v>
      </c>
    </row>
    <row r="21" spans="2:3">
      <c r="B21" t="s">
        <v>1</v>
      </c>
      <c r="C21" t="s">
        <v>194</v>
      </c>
    </row>
    <row r="22" spans="2:3">
      <c r="B22" t="s">
        <v>204</v>
      </c>
      <c r="C22" t="s">
        <v>61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AM113"/>
  <sheetViews>
    <sheetView topLeftCell="W1" workbookViewId="0">
      <selection activeCell="AB2" sqref="AB2:AD2"/>
    </sheetView>
  </sheetViews>
  <sheetFormatPr defaultRowHeight="15"/>
  <cols>
    <col min="2" max="2" width="26.85546875" customWidth="1"/>
    <col min="3" max="3" width="20.7109375" customWidth="1"/>
    <col min="4" max="4" width="16.5703125" customWidth="1"/>
    <col min="6" max="6" width="29.140625" customWidth="1"/>
    <col min="7" max="7" width="18.42578125" customWidth="1"/>
    <col min="8" max="8" width="15.42578125" customWidth="1"/>
    <col min="9" max="9" width="18.85546875" customWidth="1"/>
    <col min="11" max="11" width="16.140625" customWidth="1"/>
    <col min="12" max="12" width="19" customWidth="1"/>
    <col min="13" max="13" width="11.85546875" customWidth="1"/>
    <col min="15" max="15" width="26.140625" customWidth="1"/>
    <col min="20" max="20" width="22.140625" customWidth="1"/>
    <col min="24" max="24" width="25.28515625" customWidth="1"/>
    <col min="25" max="25" width="18.5703125" customWidth="1"/>
    <col min="28" max="28" width="19.28515625" bestFit="1" customWidth="1"/>
    <col min="31" max="31" width="11.140625" customWidth="1"/>
    <col min="32" max="32" width="26.42578125" customWidth="1"/>
    <col min="33" max="33" width="19.140625" customWidth="1"/>
    <col min="37" max="37" width="16" customWidth="1"/>
    <col min="38" max="38" width="12.28515625" customWidth="1"/>
  </cols>
  <sheetData>
    <row r="2" spans="1:39">
      <c r="B2" s="39" t="s">
        <v>282</v>
      </c>
      <c r="C2" s="37"/>
      <c r="D2" s="37"/>
      <c r="F2" s="40" t="s">
        <v>282</v>
      </c>
      <c r="G2" s="41"/>
      <c r="H2" s="41"/>
      <c r="I2" t="s">
        <v>412</v>
      </c>
      <c r="K2" s="37" t="s">
        <v>297</v>
      </c>
      <c r="L2" s="37"/>
      <c r="M2" s="37"/>
      <c r="O2" s="36" t="s">
        <v>298</v>
      </c>
      <c r="P2" s="36"/>
      <c r="Q2" s="36"/>
      <c r="T2" s="36" t="s">
        <v>327</v>
      </c>
      <c r="U2" s="36"/>
      <c r="V2" s="36"/>
      <c r="X2" s="37" t="s">
        <v>339</v>
      </c>
      <c r="Y2" s="37"/>
      <c r="Z2" s="37"/>
      <c r="AB2" s="36" t="s">
        <v>339</v>
      </c>
      <c r="AC2" s="36"/>
      <c r="AD2" s="36"/>
      <c r="AG2" s="36" t="s">
        <v>341</v>
      </c>
      <c r="AH2" s="36"/>
      <c r="AI2" s="36"/>
      <c r="AK2" s="27" t="s">
        <v>353</v>
      </c>
      <c r="AL2" s="28"/>
      <c r="AM2" s="28"/>
    </row>
    <row r="3" spans="1:39">
      <c r="B3" s="16" t="s">
        <v>230</v>
      </c>
      <c r="C3" s="16" t="s">
        <v>231</v>
      </c>
      <c r="D3" s="16" t="s">
        <v>232</v>
      </c>
      <c r="F3" s="16" t="s">
        <v>230</v>
      </c>
      <c r="G3" s="16" t="s">
        <v>231</v>
      </c>
      <c r="H3" s="16" t="s">
        <v>232</v>
      </c>
      <c r="K3" s="16" t="s">
        <v>230</v>
      </c>
      <c r="L3" s="16" t="s">
        <v>231</v>
      </c>
      <c r="M3" s="16" t="s">
        <v>232</v>
      </c>
      <c r="O3" s="16" t="s">
        <v>230</v>
      </c>
      <c r="P3" s="16" t="s">
        <v>231</v>
      </c>
      <c r="Q3" s="16" t="s">
        <v>232</v>
      </c>
      <c r="S3">
        <v>1</v>
      </c>
      <c r="T3" s="16" t="s">
        <v>230</v>
      </c>
      <c r="U3" s="16" t="s">
        <v>231</v>
      </c>
      <c r="V3" s="16" t="s">
        <v>232</v>
      </c>
      <c r="X3" s="16" t="s">
        <v>230</v>
      </c>
      <c r="Y3" s="16" t="s">
        <v>231</v>
      </c>
      <c r="Z3" s="16" t="s">
        <v>232</v>
      </c>
      <c r="AB3" s="16" t="s">
        <v>230</v>
      </c>
      <c r="AC3" s="16" t="s">
        <v>231</v>
      </c>
      <c r="AD3" s="16" t="s">
        <v>232</v>
      </c>
      <c r="AG3" s="16" t="s">
        <v>230</v>
      </c>
      <c r="AH3" s="16" t="s">
        <v>231</v>
      </c>
      <c r="AI3" s="16" t="s">
        <v>232</v>
      </c>
      <c r="AK3" s="16" t="s">
        <v>230</v>
      </c>
      <c r="AL3" s="16" t="s">
        <v>231</v>
      </c>
      <c r="AM3" s="16" t="s">
        <v>232</v>
      </c>
    </row>
    <row r="4" spans="1:39">
      <c r="A4">
        <v>1</v>
      </c>
      <c r="B4" t="s">
        <v>233</v>
      </c>
      <c r="C4" t="s">
        <v>23</v>
      </c>
      <c r="D4">
        <v>4</v>
      </c>
      <c r="E4">
        <v>1</v>
      </c>
      <c r="F4" t="s">
        <v>233</v>
      </c>
      <c r="G4" t="s">
        <v>23</v>
      </c>
      <c r="H4">
        <v>4</v>
      </c>
      <c r="I4" t="s">
        <v>414</v>
      </c>
      <c r="K4" t="s">
        <v>285</v>
      </c>
      <c r="L4" t="s">
        <v>23</v>
      </c>
      <c r="M4">
        <v>4</v>
      </c>
      <c r="O4" t="s">
        <v>299</v>
      </c>
      <c r="P4" t="s">
        <v>23</v>
      </c>
      <c r="Q4">
        <v>4</v>
      </c>
      <c r="S4">
        <v>2</v>
      </c>
      <c r="T4" s="31" t="s">
        <v>301</v>
      </c>
      <c r="U4" t="s">
        <v>23</v>
      </c>
      <c r="V4">
        <v>4</v>
      </c>
      <c r="X4" t="s">
        <v>328</v>
      </c>
      <c r="Y4" t="s">
        <v>23</v>
      </c>
      <c r="Z4">
        <v>4</v>
      </c>
      <c r="AB4" t="s">
        <v>328</v>
      </c>
      <c r="AC4" t="s">
        <v>23</v>
      </c>
      <c r="AD4">
        <v>4</v>
      </c>
      <c r="AG4" t="s">
        <v>341</v>
      </c>
      <c r="AH4" t="s">
        <v>23</v>
      </c>
      <c r="AK4" t="s">
        <v>346</v>
      </c>
      <c r="AL4" t="s">
        <v>23</v>
      </c>
      <c r="AM4">
        <v>4</v>
      </c>
    </row>
    <row r="5" spans="1:39">
      <c r="A5">
        <v>2</v>
      </c>
      <c r="B5" t="s">
        <v>234</v>
      </c>
      <c r="C5" t="s">
        <v>23</v>
      </c>
      <c r="D5">
        <v>4</v>
      </c>
      <c r="E5">
        <v>2</v>
      </c>
      <c r="F5" t="s">
        <v>234</v>
      </c>
      <c r="G5" t="s">
        <v>23</v>
      </c>
      <c r="H5">
        <v>4</v>
      </c>
      <c r="I5" t="s">
        <v>414</v>
      </c>
      <c r="K5" t="s">
        <v>233</v>
      </c>
      <c r="L5" t="s">
        <v>23</v>
      </c>
      <c r="M5">
        <v>4</v>
      </c>
      <c r="O5" t="s">
        <v>233</v>
      </c>
      <c r="P5" t="s">
        <v>23</v>
      </c>
      <c r="Q5">
        <v>4</v>
      </c>
      <c r="S5">
        <v>3</v>
      </c>
      <c r="T5" s="31" t="s">
        <v>233</v>
      </c>
      <c r="U5" t="s">
        <v>23</v>
      </c>
      <c r="V5">
        <v>4</v>
      </c>
      <c r="X5" t="s">
        <v>233</v>
      </c>
      <c r="Y5" t="s">
        <v>23</v>
      </c>
      <c r="Z5">
        <v>4</v>
      </c>
      <c r="AB5" t="s">
        <v>233</v>
      </c>
      <c r="AC5" t="s">
        <v>23</v>
      </c>
      <c r="AD5">
        <v>4</v>
      </c>
      <c r="AG5" t="s">
        <v>342</v>
      </c>
      <c r="AH5" t="s">
        <v>398</v>
      </c>
      <c r="AK5" t="s">
        <v>233</v>
      </c>
      <c r="AL5" t="s">
        <v>23</v>
      </c>
      <c r="AM5">
        <v>4</v>
      </c>
    </row>
    <row r="6" spans="1:39">
      <c r="A6">
        <v>3</v>
      </c>
      <c r="B6" t="s">
        <v>235</v>
      </c>
      <c r="C6" t="s">
        <v>236</v>
      </c>
      <c r="D6">
        <v>31</v>
      </c>
      <c r="E6">
        <v>3</v>
      </c>
      <c r="F6" t="s">
        <v>235</v>
      </c>
      <c r="G6" t="s">
        <v>236</v>
      </c>
      <c r="H6">
        <v>31</v>
      </c>
      <c r="I6" t="s">
        <v>414</v>
      </c>
      <c r="K6" t="s">
        <v>286</v>
      </c>
      <c r="L6" t="s">
        <v>61</v>
      </c>
      <c r="M6">
        <v>2</v>
      </c>
      <c r="O6" t="s">
        <v>113</v>
      </c>
      <c r="P6" t="s">
        <v>61</v>
      </c>
      <c r="Q6">
        <v>2</v>
      </c>
      <c r="S6">
        <v>4</v>
      </c>
      <c r="T6" s="31" t="s">
        <v>302</v>
      </c>
      <c r="U6" t="s">
        <v>23</v>
      </c>
      <c r="V6">
        <v>4</v>
      </c>
      <c r="X6" t="s">
        <v>329</v>
      </c>
      <c r="Y6" t="s">
        <v>23</v>
      </c>
      <c r="Z6">
        <v>4</v>
      </c>
      <c r="AB6" t="s">
        <v>329</v>
      </c>
      <c r="AC6" t="s">
        <v>23</v>
      </c>
      <c r="AD6">
        <v>4</v>
      </c>
      <c r="AG6" t="s">
        <v>330</v>
      </c>
      <c r="AH6" t="s">
        <v>61</v>
      </c>
      <c r="AI6" t="s">
        <v>340</v>
      </c>
      <c r="AK6" t="s">
        <v>347</v>
      </c>
      <c r="AL6" t="s">
        <v>248</v>
      </c>
      <c r="AM6">
        <v>17</v>
      </c>
    </row>
    <row r="7" spans="1:39">
      <c r="A7">
        <v>4</v>
      </c>
      <c r="B7" t="s">
        <v>237</v>
      </c>
      <c r="C7" t="s">
        <v>238</v>
      </c>
      <c r="D7">
        <v>3</v>
      </c>
      <c r="E7">
        <v>4</v>
      </c>
      <c r="F7" t="s">
        <v>413</v>
      </c>
      <c r="G7" t="s">
        <v>238</v>
      </c>
      <c r="H7">
        <v>3</v>
      </c>
      <c r="I7" t="s">
        <v>414</v>
      </c>
      <c r="K7" t="s">
        <v>287</v>
      </c>
      <c r="L7" t="s">
        <v>23</v>
      </c>
      <c r="M7">
        <v>4</v>
      </c>
      <c r="O7" t="s">
        <v>279</v>
      </c>
      <c r="P7" t="s">
        <v>61</v>
      </c>
      <c r="Q7">
        <v>2</v>
      </c>
      <c r="S7">
        <v>5</v>
      </c>
      <c r="T7" s="31" t="s">
        <v>243</v>
      </c>
      <c r="U7" t="s">
        <v>23</v>
      </c>
      <c r="V7">
        <v>4</v>
      </c>
      <c r="X7" t="s">
        <v>14</v>
      </c>
      <c r="Y7" t="s">
        <v>248</v>
      </c>
      <c r="Z7">
        <v>13</v>
      </c>
      <c r="AB7" t="s">
        <v>426</v>
      </c>
      <c r="AC7" t="s">
        <v>23</v>
      </c>
      <c r="AD7">
        <v>2</v>
      </c>
      <c r="AG7" t="s">
        <v>343</v>
      </c>
      <c r="AH7" t="s">
        <v>23</v>
      </c>
      <c r="AK7" t="s">
        <v>348</v>
      </c>
      <c r="AL7" t="s">
        <v>61</v>
      </c>
      <c r="AM7">
        <v>2</v>
      </c>
    </row>
    <row r="8" spans="1:39">
      <c r="A8">
        <v>5</v>
      </c>
      <c r="B8" t="s">
        <v>239</v>
      </c>
      <c r="C8" t="s">
        <v>240</v>
      </c>
      <c r="D8">
        <v>9</v>
      </c>
      <c r="E8">
        <v>5</v>
      </c>
      <c r="F8" t="s">
        <v>239</v>
      </c>
      <c r="G8" t="s">
        <v>240</v>
      </c>
      <c r="H8">
        <v>9</v>
      </c>
      <c r="I8" t="s">
        <v>414</v>
      </c>
      <c r="K8" t="s">
        <v>288</v>
      </c>
      <c r="L8" t="s">
        <v>63</v>
      </c>
      <c r="M8">
        <v>8</v>
      </c>
      <c r="O8" t="s">
        <v>53</v>
      </c>
      <c r="P8" t="s">
        <v>236</v>
      </c>
      <c r="Q8">
        <v>500</v>
      </c>
      <c r="S8">
        <v>6</v>
      </c>
      <c r="T8" s="31" t="s">
        <v>303</v>
      </c>
      <c r="U8" t="s">
        <v>65</v>
      </c>
      <c r="V8">
        <v>1</v>
      </c>
      <c r="X8" t="s">
        <v>330</v>
      </c>
      <c r="Y8" t="s">
        <v>61</v>
      </c>
      <c r="Z8">
        <v>2</v>
      </c>
      <c r="AB8" t="s">
        <v>335</v>
      </c>
      <c r="AC8" t="s">
        <v>63</v>
      </c>
      <c r="AD8">
        <v>8</v>
      </c>
      <c r="AG8" t="s">
        <v>344</v>
      </c>
      <c r="AH8" t="s">
        <v>65</v>
      </c>
      <c r="AK8" t="s">
        <v>349</v>
      </c>
      <c r="AL8" t="s">
        <v>61</v>
      </c>
      <c r="AM8">
        <v>2</v>
      </c>
    </row>
    <row r="9" spans="1:39">
      <c r="A9">
        <v>6</v>
      </c>
      <c r="B9" t="s">
        <v>241</v>
      </c>
      <c r="C9" t="s">
        <v>236</v>
      </c>
      <c r="D9">
        <v>31</v>
      </c>
      <c r="E9">
        <v>33</v>
      </c>
      <c r="F9" t="s">
        <v>270</v>
      </c>
      <c r="G9" s="29" t="s">
        <v>236</v>
      </c>
      <c r="H9">
        <v>31</v>
      </c>
      <c r="I9" t="s">
        <v>414</v>
      </c>
      <c r="K9" t="s">
        <v>289</v>
      </c>
      <c r="L9" t="s">
        <v>61</v>
      </c>
      <c r="M9">
        <v>2</v>
      </c>
      <c r="O9" t="s">
        <v>293</v>
      </c>
      <c r="P9" t="s">
        <v>23</v>
      </c>
      <c r="Q9">
        <v>4</v>
      </c>
      <c r="S9">
        <v>7</v>
      </c>
      <c r="T9" s="31" t="s">
        <v>304</v>
      </c>
      <c r="U9" t="s">
        <v>280</v>
      </c>
      <c r="V9">
        <v>400</v>
      </c>
      <c r="X9" t="s">
        <v>331</v>
      </c>
      <c r="Y9" t="s">
        <v>23</v>
      </c>
      <c r="Z9">
        <v>4</v>
      </c>
      <c r="AB9" t="s">
        <v>24</v>
      </c>
      <c r="AC9" t="s">
        <v>23</v>
      </c>
      <c r="AD9">
        <v>4</v>
      </c>
      <c r="AG9" t="s">
        <v>345</v>
      </c>
      <c r="AH9" t="s">
        <v>23</v>
      </c>
      <c r="AK9" t="s">
        <v>350</v>
      </c>
      <c r="AL9" t="s">
        <v>23</v>
      </c>
      <c r="AM9">
        <v>4</v>
      </c>
    </row>
    <row r="10" spans="1:39">
      <c r="A10">
        <v>7</v>
      </c>
      <c r="B10" t="s">
        <v>242</v>
      </c>
      <c r="C10" t="s">
        <v>61</v>
      </c>
      <c r="D10">
        <v>2</v>
      </c>
      <c r="E10">
        <v>10</v>
      </c>
      <c r="F10" t="s">
        <v>93</v>
      </c>
      <c r="G10" s="29" t="s">
        <v>61</v>
      </c>
      <c r="H10">
        <v>2</v>
      </c>
      <c r="I10" t="s">
        <v>414</v>
      </c>
      <c r="K10" t="s">
        <v>290</v>
      </c>
      <c r="L10" t="s">
        <v>23</v>
      </c>
      <c r="M10">
        <v>4</v>
      </c>
      <c r="O10" t="s">
        <v>35</v>
      </c>
      <c r="P10" t="s">
        <v>63</v>
      </c>
      <c r="Q10">
        <v>8</v>
      </c>
      <c r="S10">
        <v>8</v>
      </c>
      <c r="T10" s="31" t="s">
        <v>305</v>
      </c>
      <c r="U10" t="s">
        <v>248</v>
      </c>
      <c r="V10">
        <v>17</v>
      </c>
      <c r="X10" t="s">
        <v>332</v>
      </c>
      <c r="Y10" t="s">
        <v>23</v>
      </c>
      <c r="Z10">
        <v>4</v>
      </c>
      <c r="AB10" t="s">
        <v>27</v>
      </c>
      <c r="AC10" t="s">
        <v>23</v>
      </c>
      <c r="AD10">
        <v>4</v>
      </c>
      <c r="AG10" t="s">
        <v>35</v>
      </c>
      <c r="AH10" t="s">
        <v>63</v>
      </c>
      <c r="AK10" t="s">
        <v>53</v>
      </c>
      <c r="AL10" t="s">
        <v>236</v>
      </c>
      <c r="AM10">
        <v>255</v>
      </c>
    </row>
    <row r="11" spans="1:39">
      <c r="A11">
        <v>8</v>
      </c>
      <c r="B11" s="25" t="s">
        <v>243</v>
      </c>
      <c r="C11" s="25" t="s">
        <v>23</v>
      </c>
      <c r="D11" s="25">
        <v>4</v>
      </c>
      <c r="E11">
        <v>11</v>
      </c>
      <c r="F11" t="s">
        <v>245</v>
      </c>
      <c r="G11" t="s">
        <v>23</v>
      </c>
      <c r="H11">
        <v>4</v>
      </c>
      <c r="I11" t="s">
        <v>414</v>
      </c>
      <c r="K11" t="s">
        <v>291</v>
      </c>
      <c r="L11" t="s">
        <v>61</v>
      </c>
      <c r="M11">
        <v>2</v>
      </c>
      <c r="O11" t="s">
        <v>424</v>
      </c>
      <c r="P11" t="s">
        <v>23</v>
      </c>
      <c r="Q11">
        <v>4</v>
      </c>
      <c r="S11">
        <v>9</v>
      </c>
      <c r="T11" s="31" t="s">
        <v>94</v>
      </c>
      <c r="U11" t="s">
        <v>248</v>
      </c>
      <c r="V11">
        <v>17</v>
      </c>
      <c r="X11" t="s">
        <v>53</v>
      </c>
      <c r="Y11" t="s">
        <v>236</v>
      </c>
      <c r="Z11">
        <v>256</v>
      </c>
      <c r="AB11" t="s">
        <v>333</v>
      </c>
      <c r="AC11" t="s">
        <v>23</v>
      </c>
      <c r="AD11">
        <v>4</v>
      </c>
      <c r="AG11" t="s">
        <v>36</v>
      </c>
      <c r="AH11" t="s">
        <v>23</v>
      </c>
      <c r="AK11" t="s">
        <v>273</v>
      </c>
      <c r="AL11" t="s">
        <v>23</v>
      </c>
      <c r="AM11">
        <v>4</v>
      </c>
    </row>
    <row r="12" spans="1:39">
      <c r="A12">
        <v>9</v>
      </c>
      <c r="B12" s="25" t="s">
        <v>244</v>
      </c>
      <c r="C12" s="25" t="s">
        <v>61</v>
      </c>
      <c r="D12" s="25">
        <v>2</v>
      </c>
      <c r="E12">
        <v>12</v>
      </c>
      <c r="F12" t="s">
        <v>423</v>
      </c>
      <c r="G12" t="s">
        <v>236</v>
      </c>
      <c r="H12">
        <v>250</v>
      </c>
      <c r="I12" t="s">
        <v>414</v>
      </c>
      <c r="K12" t="s">
        <v>292</v>
      </c>
      <c r="L12" t="s">
        <v>248</v>
      </c>
      <c r="M12">
        <v>17</v>
      </c>
      <c r="O12" t="s">
        <v>288</v>
      </c>
      <c r="P12" t="s">
        <v>63</v>
      </c>
      <c r="Q12">
        <v>4</v>
      </c>
      <c r="S12">
        <v>10</v>
      </c>
      <c r="T12" s="31" t="s">
        <v>306</v>
      </c>
      <c r="U12" t="s">
        <v>248</v>
      </c>
      <c r="V12">
        <v>17</v>
      </c>
      <c r="X12" t="s">
        <v>34</v>
      </c>
      <c r="Y12" t="s">
        <v>23</v>
      </c>
      <c r="Z12">
        <v>4</v>
      </c>
      <c r="AB12" t="s">
        <v>14</v>
      </c>
      <c r="AC12" t="s">
        <v>248</v>
      </c>
      <c r="AD12">
        <v>13</v>
      </c>
      <c r="AG12" t="s">
        <v>37</v>
      </c>
      <c r="AH12" t="s">
        <v>63</v>
      </c>
      <c r="AK12" t="s">
        <v>274</v>
      </c>
      <c r="AL12" t="s">
        <v>63</v>
      </c>
      <c r="AM12">
        <v>8</v>
      </c>
    </row>
    <row r="13" spans="1:39">
      <c r="A13">
        <v>10</v>
      </c>
      <c r="B13" t="s">
        <v>93</v>
      </c>
      <c r="C13" t="s">
        <v>23</v>
      </c>
      <c r="D13">
        <v>4</v>
      </c>
      <c r="E13">
        <v>13</v>
      </c>
      <c r="F13" t="s">
        <v>14</v>
      </c>
      <c r="G13" t="s">
        <v>248</v>
      </c>
      <c r="H13">
        <v>17</v>
      </c>
      <c r="I13" t="s">
        <v>414</v>
      </c>
      <c r="K13" t="s">
        <v>53</v>
      </c>
      <c r="L13" t="s">
        <v>236</v>
      </c>
      <c r="M13">
        <v>500</v>
      </c>
      <c r="S13">
        <v>11</v>
      </c>
      <c r="T13" s="31" t="s">
        <v>53</v>
      </c>
      <c r="U13" t="s">
        <v>280</v>
      </c>
      <c r="V13">
        <v>1000</v>
      </c>
      <c r="X13" t="s">
        <v>333</v>
      </c>
      <c r="Y13" t="s">
        <v>23</v>
      </c>
      <c r="Z13">
        <v>4</v>
      </c>
      <c r="AB13" s="31" t="s">
        <v>307</v>
      </c>
      <c r="AC13" s="31"/>
      <c r="AD13" s="31"/>
      <c r="AK13" t="s">
        <v>351</v>
      </c>
      <c r="AL13" t="s">
        <v>280</v>
      </c>
      <c r="AM13">
        <v>200</v>
      </c>
    </row>
    <row r="14" spans="1:39">
      <c r="A14">
        <v>11</v>
      </c>
      <c r="B14" t="s">
        <v>245</v>
      </c>
      <c r="C14" t="s">
        <v>23</v>
      </c>
      <c r="D14">
        <v>4</v>
      </c>
      <c r="E14">
        <v>14</v>
      </c>
      <c r="F14" s="29" t="s">
        <v>249</v>
      </c>
      <c r="G14" t="s">
        <v>240</v>
      </c>
      <c r="H14">
        <v>9</v>
      </c>
      <c r="K14" t="s">
        <v>293</v>
      </c>
      <c r="L14" t="s">
        <v>23</v>
      </c>
      <c r="M14">
        <v>4</v>
      </c>
      <c r="S14">
        <v>12</v>
      </c>
      <c r="T14" s="31" t="s">
        <v>307</v>
      </c>
      <c r="U14" t="s">
        <v>248</v>
      </c>
      <c r="V14">
        <v>17</v>
      </c>
      <c r="X14" t="s">
        <v>334</v>
      </c>
      <c r="Y14" t="s">
        <v>63</v>
      </c>
      <c r="Z14">
        <v>8</v>
      </c>
      <c r="AB14" s="31" t="s">
        <v>425</v>
      </c>
      <c r="AC14" s="31"/>
      <c r="AD14" s="31"/>
      <c r="AK14" t="s">
        <v>352</v>
      </c>
      <c r="AL14" t="s">
        <v>236</v>
      </c>
      <c r="AM14">
        <v>50</v>
      </c>
    </row>
    <row r="15" spans="1:39">
      <c r="A15">
        <v>12</v>
      </c>
      <c r="B15" t="s">
        <v>246</v>
      </c>
      <c r="C15" t="s">
        <v>236</v>
      </c>
      <c r="D15">
        <v>250</v>
      </c>
      <c r="E15">
        <v>15</v>
      </c>
      <c r="F15" s="29" t="s">
        <v>250</v>
      </c>
      <c r="G15" t="s">
        <v>240</v>
      </c>
      <c r="H15">
        <v>9</v>
      </c>
      <c r="K15" t="s">
        <v>35</v>
      </c>
      <c r="L15" t="s">
        <v>63</v>
      </c>
      <c r="M15">
        <v>8</v>
      </c>
      <c r="S15">
        <v>13</v>
      </c>
      <c r="T15" s="31" t="s">
        <v>308</v>
      </c>
      <c r="U15" t="s">
        <v>248</v>
      </c>
      <c r="V15">
        <v>17</v>
      </c>
      <c r="X15" t="s">
        <v>335</v>
      </c>
      <c r="Y15" t="s">
        <v>63</v>
      </c>
      <c r="Z15">
        <v>8</v>
      </c>
      <c r="AB15" t="s">
        <v>53</v>
      </c>
      <c r="AC15" t="s">
        <v>236</v>
      </c>
      <c r="AD15">
        <v>256</v>
      </c>
    </row>
    <row r="16" spans="1:39">
      <c r="A16">
        <v>13</v>
      </c>
      <c r="B16" t="s">
        <v>247</v>
      </c>
      <c r="C16" t="s">
        <v>248</v>
      </c>
      <c r="D16">
        <v>17</v>
      </c>
      <c r="E16">
        <v>16</v>
      </c>
      <c r="F16" s="29" t="s">
        <v>251</v>
      </c>
      <c r="G16" t="s">
        <v>240</v>
      </c>
      <c r="H16">
        <v>9</v>
      </c>
      <c r="K16" t="s">
        <v>294</v>
      </c>
      <c r="L16" t="s">
        <v>23</v>
      </c>
      <c r="M16">
        <v>4</v>
      </c>
      <c r="S16">
        <v>14</v>
      </c>
      <c r="T16" s="31" t="s">
        <v>309</v>
      </c>
      <c r="U16" t="s">
        <v>248</v>
      </c>
      <c r="V16">
        <v>17</v>
      </c>
      <c r="X16" t="s">
        <v>24</v>
      </c>
      <c r="Y16" t="s">
        <v>23</v>
      </c>
      <c r="Z16">
        <v>4</v>
      </c>
      <c r="AB16" t="s">
        <v>34</v>
      </c>
      <c r="AC16" t="s">
        <v>23</v>
      </c>
      <c r="AD16">
        <v>4</v>
      </c>
    </row>
    <row r="17" spans="1:30">
      <c r="A17">
        <v>14</v>
      </c>
      <c r="B17" t="s">
        <v>249</v>
      </c>
      <c r="C17" t="s">
        <v>240</v>
      </c>
      <c r="D17">
        <v>9</v>
      </c>
      <c r="E17">
        <v>17</v>
      </c>
      <c r="F17" s="25" t="s">
        <v>252</v>
      </c>
      <c r="G17" s="25" t="s">
        <v>63</v>
      </c>
      <c r="H17">
        <v>8</v>
      </c>
      <c r="K17" t="s">
        <v>275</v>
      </c>
      <c r="L17" t="s">
        <v>23</v>
      </c>
      <c r="M17">
        <v>4</v>
      </c>
      <c r="S17">
        <v>15</v>
      </c>
      <c r="T17" s="31" t="s">
        <v>310</v>
      </c>
      <c r="U17" t="s">
        <v>248</v>
      </c>
      <c r="V17">
        <v>17</v>
      </c>
      <c r="X17" t="s">
        <v>336</v>
      </c>
      <c r="Y17" t="s">
        <v>23</v>
      </c>
      <c r="Z17">
        <v>4</v>
      </c>
      <c r="AB17" t="s">
        <v>334</v>
      </c>
      <c r="AC17" t="s">
        <v>63</v>
      </c>
      <c r="AD17">
        <v>8</v>
      </c>
    </row>
    <row r="18" spans="1:30">
      <c r="A18">
        <v>15</v>
      </c>
      <c r="B18" t="s">
        <v>250</v>
      </c>
      <c r="C18" t="s">
        <v>240</v>
      </c>
      <c r="D18">
        <v>9</v>
      </c>
      <c r="E18">
        <v>18</v>
      </c>
      <c r="F18" s="25" t="s">
        <v>283</v>
      </c>
      <c r="G18" s="25" t="s">
        <v>63</v>
      </c>
      <c r="H18">
        <v>8</v>
      </c>
      <c r="K18" t="s">
        <v>93</v>
      </c>
      <c r="L18" t="s">
        <v>23</v>
      </c>
      <c r="M18">
        <v>4</v>
      </c>
      <c r="S18">
        <v>16</v>
      </c>
      <c r="T18" s="31" t="s">
        <v>311</v>
      </c>
      <c r="U18" t="s">
        <v>23</v>
      </c>
      <c r="V18">
        <v>4</v>
      </c>
      <c r="X18" t="s">
        <v>337</v>
      </c>
      <c r="Y18" t="s">
        <v>23</v>
      </c>
      <c r="Z18">
        <v>4</v>
      </c>
    </row>
    <row r="19" spans="1:30">
      <c r="A19">
        <v>16</v>
      </c>
      <c r="B19" t="s">
        <v>251</v>
      </c>
      <c r="C19" t="s">
        <v>240</v>
      </c>
      <c r="D19">
        <v>9</v>
      </c>
      <c r="E19">
        <v>19</v>
      </c>
      <c r="F19" s="25" t="s">
        <v>254</v>
      </c>
      <c r="G19" t="s">
        <v>236</v>
      </c>
      <c r="H19">
        <v>63</v>
      </c>
      <c r="I19" t="s">
        <v>414</v>
      </c>
      <c r="K19" t="s">
        <v>295</v>
      </c>
      <c r="L19" t="s">
        <v>236</v>
      </c>
      <c r="M19">
        <v>50</v>
      </c>
      <c r="S19">
        <v>17</v>
      </c>
      <c r="T19" s="31" t="s">
        <v>312</v>
      </c>
      <c r="U19" t="s">
        <v>236</v>
      </c>
      <c r="V19">
        <v>512</v>
      </c>
      <c r="X19" t="s">
        <v>338</v>
      </c>
      <c r="Y19" t="s">
        <v>65</v>
      </c>
      <c r="Z19">
        <v>1</v>
      </c>
    </row>
    <row r="20" spans="1:30">
      <c r="A20">
        <v>17</v>
      </c>
      <c r="B20" t="s">
        <v>252</v>
      </c>
      <c r="C20" t="s">
        <v>63</v>
      </c>
      <c r="D20">
        <v>8</v>
      </c>
      <c r="E20">
        <v>20</v>
      </c>
      <c r="F20" t="s">
        <v>421</v>
      </c>
      <c r="G20" t="s">
        <v>23</v>
      </c>
      <c r="H20">
        <v>4</v>
      </c>
      <c r="I20" t="s">
        <v>418</v>
      </c>
      <c r="K20" t="s">
        <v>296</v>
      </c>
      <c r="L20" t="s">
        <v>236</v>
      </c>
      <c r="M20">
        <v>50</v>
      </c>
      <c r="S20">
        <v>18</v>
      </c>
      <c r="T20" s="31" t="s">
        <v>313</v>
      </c>
      <c r="U20" t="s">
        <v>61</v>
      </c>
      <c r="V20">
        <v>2</v>
      </c>
      <c r="X20" t="s">
        <v>133</v>
      </c>
      <c r="Y20" t="s">
        <v>236</v>
      </c>
      <c r="Z20">
        <v>50</v>
      </c>
    </row>
    <row r="21" spans="1:30">
      <c r="A21">
        <v>18</v>
      </c>
      <c r="B21" t="s">
        <v>253</v>
      </c>
      <c r="C21" t="s">
        <v>63</v>
      </c>
      <c r="D21">
        <v>8</v>
      </c>
      <c r="E21">
        <v>21</v>
      </c>
      <c r="F21" t="s">
        <v>422</v>
      </c>
      <c r="G21" t="s">
        <v>23</v>
      </c>
      <c r="H21">
        <v>4</v>
      </c>
      <c r="I21" t="s">
        <v>418</v>
      </c>
      <c r="S21">
        <v>19</v>
      </c>
      <c r="T21" s="31" t="s">
        <v>314</v>
      </c>
      <c r="U21" t="s">
        <v>65</v>
      </c>
      <c r="V21">
        <v>1</v>
      </c>
    </row>
    <row r="22" spans="1:30">
      <c r="A22">
        <v>19</v>
      </c>
      <c r="B22" t="s">
        <v>254</v>
      </c>
      <c r="C22" t="s">
        <v>236</v>
      </c>
      <c r="D22">
        <v>63</v>
      </c>
      <c r="E22">
        <v>22</v>
      </c>
      <c r="F22" s="25" t="s">
        <v>260</v>
      </c>
      <c r="G22" s="25" t="s">
        <v>23</v>
      </c>
      <c r="H22" s="25">
        <v>4</v>
      </c>
      <c r="I22" s="25"/>
      <c r="S22">
        <v>20</v>
      </c>
      <c r="T22" t="s">
        <v>315</v>
      </c>
      <c r="U22" t="s">
        <v>65</v>
      </c>
      <c r="V22">
        <v>1</v>
      </c>
    </row>
    <row r="23" spans="1:30">
      <c r="A23">
        <v>20</v>
      </c>
      <c r="B23" t="s">
        <v>255</v>
      </c>
      <c r="C23" t="s">
        <v>23</v>
      </c>
      <c r="D23">
        <v>4</v>
      </c>
      <c r="E23">
        <v>23</v>
      </c>
      <c r="F23" s="30" t="s">
        <v>261</v>
      </c>
      <c r="G23" t="s">
        <v>23</v>
      </c>
      <c r="H23">
        <v>4</v>
      </c>
      <c r="I23" t="s">
        <v>417</v>
      </c>
      <c r="S23">
        <v>21</v>
      </c>
      <c r="T23" t="s">
        <v>316</v>
      </c>
      <c r="U23" t="s">
        <v>23</v>
      </c>
      <c r="V23">
        <v>4</v>
      </c>
    </row>
    <row r="24" spans="1:30">
      <c r="A24">
        <v>21</v>
      </c>
      <c r="B24" t="s">
        <v>256</v>
      </c>
      <c r="C24" t="s">
        <v>23</v>
      </c>
      <c r="D24">
        <v>4</v>
      </c>
      <c r="E24">
        <v>24</v>
      </c>
      <c r="F24" s="30" t="s">
        <v>262</v>
      </c>
      <c r="G24" t="s">
        <v>23</v>
      </c>
      <c r="H24">
        <v>4</v>
      </c>
      <c r="I24" t="s">
        <v>417</v>
      </c>
      <c r="S24">
        <v>22</v>
      </c>
      <c r="T24" t="s">
        <v>317</v>
      </c>
      <c r="U24" t="s">
        <v>236</v>
      </c>
      <c r="V24">
        <v>50</v>
      </c>
    </row>
    <row r="25" spans="1:30">
      <c r="A25">
        <v>22</v>
      </c>
      <c r="B25" t="s">
        <v>257</v>
      </c>
      <c r="C25" t="s">
        <v>23</v>
      </c>
      <c r="D25">
        <v>4</v>
      </c>
      <c r="E25">
        <v>25</v>
      </c>
      <c r="F25" s="30" t="s">
        <v>263</v>
      </c>
      <c r="G25" t="s">
        <v>23</v>
      </c>
      <c r="H25">
        <v>4</v>
      </c>
      <c r="I25" t="s">
        <v>417</v>
      </c>
      <c r="S25">
        <v>23</v>
      </c>
      <c r="T25" t="s">
        <v>318</v>
      </c>
      <c r="U25" t="s">
        <v>23</v>
      </c>
      <c r="V25">
        <v>4</v>
      </c>
    </row>
    <row r="26" spans="1:30">
      <c r="A26">
        <v>23</v>
      </c>
      <c r="B26" t="s">
        <v>258</v>
      </c>
      <c r="C26" t="s">
        <v>23</v>
      </c>
      <c r="D26">
        <v>4</v>
      </c>
      <c r="E26">
        <v>26</v>
      </c>
      <c r="F26" s="30" t="s">
        <v>264</v>
      </c>
      <c r="G26" t="s">
        <v>23</v>
      </c>
      <c r="H26">
        <v>4</v>
      </c>
      <c r="I26" t="s">
        <v>416</v>
      </c>
      <c r="S26">
        <v>24</v>
      </c>
      <c r="T26" t="s">
        <v>319</v>
      </c>
      <c r="U26" t="s">
        <v>236</v>
      </c>
      <c r="V26">
        <v>50</v>
      </c>
    </row>
    <row r="27" spans="1:30">
      <c r="A27">
        <v>24</v>
      </c>
      <c r="B27" t="s">
        <v>259</v>
      </c>
      <c r="C27" t="s">
        <v>23</v>
      </c>
      <c r="D27">
        <v>4</v>
      </c>
      <c r="E27">
        <v>27</v>
      </c>
      <c r="F27" s="25" t="s">
        <v>265</v>
      </c>
      <c r="G27" s="25" t="s">
        <v>236</v>
      </c>
      <c r="H27" s="25">
        <v>50</v>
      </c>
      <c r="S27">
        <v>25</v>
      </c>
      <c r="T27" t="s">
        <v>320</v>
      </c>
      <c r="U27" t="s">
        <v>23</v>
      </c>
      <c r="V27">
        <v>4</v>
      </c>
    </row>
    <row r="28" spans="1:30">
      <c r="A28">
        <v>25</v>
      </c>
      <c r="B28" t="s">
        <v>260</v>
      </c>
      <c r="C28" t="s">
        <v>23</v>
      </c>
      <c r="D28">
        <v>4</v>
      </c>
      <c r="E28">
        <v>28</v>
      </c>
      <c r="F28" s="25" t="s">
        <v>139</v>
      </c>
      <c r="G28" s="25" t="s">
        <v>236</v>
      </c>
      <c r="H28" s="25">
        <v>50</v>
      </c>
      <c r="S28">
        <v>26</v>
      </c>
      <c r="T28" t="s">
        <v>321</v>
      </c>
      <c r="U28" t="s">
        <v>236</v>
      </c>
      <c r="V28">
        <v>50</v>
      </c>
    </row>
    <row r="29" spans="1:30">
      <c r="A29">
        <v>26</v>
      </c>
      <c r="B29" t="s">
        <v>261</v>
      </c>
      <c r="C29" t="s">
        <v>23</v>
      </c>
      <c r="D29">
        <v>4</v>
      </c>
      <c r="E29">
        <v>29</v>
      </c>
      <c r="F29" s="25" t="s">
        <v>266</v>
      </c>
      <c r="G29" s="25" t="s">
        <v>61</v>
      </c>
      <c r="H29" s="25">
        <v>2</v>
      </c>
      <c r="S29">
        <v>27</v>
      </c>
      <c r="T29" t="s">
        <v>322</v>
      </c>
      <c r="U29" t="s">
        <v>23</v>
      </c>
      <c r="V29">
        <v>4</v>
      </c>
    </row>
    <row r="30" spans="1:30">
      <c r="A30">
        <v>27</v>
      </c>
      <c r="B30" t="s">
        <v>262</v>
      </c>
      <c r="C30" t="s">
        <v>23</v>
      </c>
      <c r="D30">
        <v>4</v>
      </c>
      <c r="E30">
        <v>30</v>
      </c>
      <c r="F30" s="25" t="s">
        <v>267</v>
      </c>
      <c r="G30" s="25" t="s">
        <v>236</v>
      </c>
      <c r="H30" s="25">
        <v>50</v>
      </c>
      <c r="S30">
        <v>28</v>
      </c>
      <c r="T30" t="s">
        <v>323</v>
      </c>
      <c r="U30" t="s">
        <v>236</v>
      </c>
      <c r="V30">
        <v>50</v>
      </c>
    </row>
    <row r="31" spans="1:30">
      <c r="A31">
        <v>28</v>
      </c>
      <c r="B31" t="s">
        <v>263</v>
      </c>
      <c r="C31" t="s">
        <v>23</v>
      </c>
      <c r="D31">
        <v>4</v>
      </c>
      <c r="E31">
        <v>31</v>
      </c>
      <c r="F31" s="25" t="s">
        <v>268</v>
      </c>
      <c r="G31" s="25" t="s">
        <v>61</v>
      </c>
      <c r="H31" s="25">
        <v>2</v>
      </c>
      <c r="S31">
        <v>29</v>
      </c>
      <c r="T31" s="31" t="s">
        <v>324</v>
      </c>
      <c r="U31" t="s">
        <v>248</v>
      </c>
      <c r="V31">
        <v>17</v>
      </c>
    </row>
    <row r="32" spans="1:30">
      <c r="A32">
        <v>29</v>
      </c>
      <c r="B32" t="s">
        <v>264</v>
      </c>
      <c r="C32" t="s">
        <v>23</v>
      </c>
      <c r="D32">
        <v>4</v>
      </c>
      <c r="S32">
        <v>30</v>
      </c>
      <c r="T32" t="s">
        <v>325</v>
      </c>
      <c r="U32" t="s">
        <v>23</v>
      </c>
      <c r="V32">
        <v>4</v>
      </c>
    </row>
    <row r="33" spans="1:22">
      <c r="A33">
        <v>30</v>
      </c>
      <c r="B33" t="s">
        <v>265</v>
      </c>
      <c r="C33" t="s">
        <v>236</v>
      </c>
      <c r="D33">
        <v>50</v>
      </c>
      <c r="H33">
        <v>9</v>
      </c>
      <c r="S33">
        <v>31</v>
      </c>
      <c r="T33" t="s">
        <v>326</v>
      </c>
      <c r="U33" t="s">
        <v>236</v>
      </c>
      <c r="V33">
        <v>50</v>
      </c>
    </row>
    <row r="34" spans="1:22">
      <c r="A34">
        <v>31</v>
      </c>
      <c r="B34" t="s">
        <v>139</v>
      </c>
      <c r="C34" t="s">
        <v>236</v>
      </c>
      <c r="D34">
        <v>50</v>
      </c>
      <c r="E34">
        <v>34</v>
      </c>
      <c r="F34" t="s">
        <v>271</v>
      </c>
      <c r="G34" t="s">
        <v>65</v>
      </c>
      <c r="H34">
        <v>1</v>
      </c>
      <c r="I34" t="s">
        <v>419</v>
      </c>
    </row>
    <row r="35" spans="1:22">
      <c r="A35">
        <v>32</v>
      </c>
      <c r="B35" t="s">
        <v>266</v>
      </c>
      <c r="C35" t="s">
        <v>61</v>
      </c>
      <c r="D35">
        <v>2</v>
      </c>
      <c r="E35">
        <v>35</v>
      </c>
      <c r="F35" t="s">
        <v>272</v>
      </c>
      <c r="G35" t="s">
        <v>23</v>
      </c>
      <c r="H35">
        <v>4</v>
      </c>
      <c r="I35" t="s">
        <v>420</v>
      </c>
    </row>
    <row r="36" spans="1:22">
      <c r="A36">
        <v>33</v>
      </c>
      <c r="B36" t="s">
        <v>267</v>
      </c>
      <c r="C36" t="s">
        <v>236</v>
      </c>
      <c r="D36">
        <v>50</v>
      </c>
      <c r="E36">
        <v>36</v>
      </c>
      <c r="F36" t="s">
        <v>415</v>
      </c>
      <c r="G36" t="s">
        <v>23</v>
      </c>
      <c r="H36">
        <v>4</v>
      </c>
    </row>
    <row r="37" spans="1:22">
      <c r="A37">
        <v>34</v>
      </c>
      <c r="B37" t="s">
        <v>268</v>
      </c>
      <c r="C37" t="s">
        <v>61</v>
      </c>
      <c r="D37">
        <v>2</v>
      </c>
      <c r="E37">
        <v>37</v>
      </c>
      <c r="F37" t="s">
        <v>35</v>
      </c>
      <c r="G37" t="s">
        <v>63</v>
      </c>
      <c r="H37">
        <v>8</v>
      </c>
    </row>
    <row r="38" spans="1:22">
      <c r="A38">
        <v>35</v>
      </c>
      <c r="B38" t="s">
        <v>269</v>
      </c>
      <c r="C38" t="s">
        <v>236</v>
      </c>
      <c r="D38">
        <v>800</v>
      </c>
      <c r="E38">
        <v>38</v>
      </c>
      <c r="F38" s="26" t="s">
        <v>300</v>
      </c>
      <c r="G38" s="25" t="s">
        <v>23</v>
      </c>
      <c r="H38" s="25">
        <v>4</v>
      </c>
      <c r="I38" t="s">
        <v>419</v>
      </c>
    </row>
    <row r="39" spans="1:22">
      <c r="A39">
        <v>36</v>
      </c>
      <c r="B39" t="s">
        <v>270</v>
      </c>
      <c r="C39" t="s">
        <v>240</v>
      </c>
      <c r="D39">
        <v>9</v>
      </c>
      <c r="E39">
        <v>39</v>
      </c>
      <c r="F39" t="s">
        <v>276</v>
      </c>
      <c r="G39" t="s">
        <v>61</v>
      </c>
      <c r="H39">
        <v>2</v>
      </c>
    </row>
    <row r="40" spans="1:22">
      <c r="A40">
        <v>37</v>
      </c>
      <c r="B40" t="s">
        <v>271</v>
      </c>
      <c r="C40" t="s">
        <v>65</v>
      </c>
      <c r="D40">
        <v>1</v>
      </c>
      <c r="E40">
        <v>40</v>
      </c>
      <c r="F40" s="26" t="s">
        <v>284</v>
      </c>
      <c r="G40" t="s">
        <v>23</v>
      </c>
      <c r="H40">
        <v>4</v>
      </c>
      <c r="I40" t="s">
        <v>419</v>
      </c>
    </row>
    <row r="41" spans="1:22">
      <c r="A41">
        <v>38</v>
      </c>
      <c r="B41" t="s">
        <v>272</v>
      </c>
      <c r="C41" t="s">
        <v>23</v>
      </c>
      <c r="D41">
        <v>4</v>
      </c>
      <c r="E41">
        <v>41</v>
      </c>
      <c r="F41" t="s">
        <v>164</v>
      </c>
      <c r="G41" t="s">
        <v>23</v>
      </c>
      <c r="H41">
        <v>4</v>
      </c>
      <c r="I41" t="s">
        <v>419</v>
      </c>
    </row>
    <row r="42" spans="1:22">
      <c r="A42">
        <v>39</v>
      </c>
      <c r="B42" t="s">
        <v>273</v>
      </c>
      <c r="C42" t="s">
        <v>23</v>
      </c>
      <c r="D42">
        <v>4</v>
      </c>
      <c r="E42">
        <v>42</v>
      </c>
      <c r="F42" t="s">
        <v>53</v>
      </c>
      <c r="G42" t="s">
        <v>280</v>
      </c>
      <c r="H42">
        <v>1000</v>
      </c>
    </row>
    <row r="43" spans="1:22">
      <c r="A43">
        <v>40</v>
      </c>
      <c r="B43" t="s">
        <v>274</v>
      </c>
      <c r="C43" t="s">
        <v>63</v>
      </c>
      <c r="D43">
        <v>8</v>
      </c>
      <c r="F43" s="25"/>
      <c r="G43" t="s">
        <v>23</v>
      </c>
      <c r="H43">
        <v>4</v>
      </c>
    </row>
    <row r="44" spans="1:22">
      <c r="A44">
        <v>41</v>
      </c>
      <c r="B44" s="25" t="s">
        <v>275</v>
      </c>
      <c r="C44" s="25" t="s">
        <v>23</v>
      </c>
      <c r="D44" s="25">
        <v>4</v>
      </c>
    </row>
    <row r="45" spans="1:22">
      <c r="A45">
        <v>42</v>
      </c>
      <c r="B45" t="s">
        <v>276</v>
      </c>
      <c r="C45" t="s">
        <v>61</v>
      </c>
      <c r="D45">
        <v>2</v>
      </c>
    </row>
    <row r="46" spans="1:22">
      <c r="A46">
        <v>43</v>
      </c>
      <c r="B46" s="25" t="s">
        <v>277</v>
      </c>
      <c r="C46" t="s">
        <v>23</v>
      </c>
      <c r="D46">
        <v>4</v>
      </c>
    </row>
    <row r="47" spans="1:22">
      <c r="A47">
        <v>44</v>
      </c>
      <c r="B47" s="25" t="s">
        <v>278</v>
      </c>
      <c r="C47" s="25" t="s">
        <v>65</v>
      </c>
      <c r="D47" s="25">
        <v>1</v>
      </c>
    </row>
    <row r="48" spans="1:22">
      <c r="A48">
        <v>45</v>
      </c>
      <c r="B48" t="s">
        <v>164</v>
      </c>
      <c r="C48" t="s">
        <v>23</v>
      </c>
      <c r="D48">
        <v>4</v>
      </c>
    </row>
    <row r="49" spans="1:21">
      <c r="A49">
        <v>46</v>
      </c>
      <c r="B49" s="25" t="s">
        <v>279</v>
      </c>
      <c r="C49" s="25" t="s">
        <v>61</v>
      </c>
      <c r="D49" s="25">
        <v>2</v>
      </c>
    </row>
    <row r="50" spans="1:21">
      <c r="A50">
        <v>47</v>
      </c>
      <c r="B50" s="25" t="s">
        <v>133</v>
      </c>
      <c r="C50" s="25" t="s">
        <v>236</v>
      </c>
      <c r="D50" s="25">
        <v>50</v>
      </c>
    </row>
    <row r="51" spans="1:21">
      <c r="A51">
        <v>48</v>
      </c>
      <c r="B51" t="s">
        <v>53</v>
      </c>
      <c r="C51" t="s">
        <v>280</v>
      </c>
      <c r="D51">
        <v>1000</v>
      </c>
    </row>
    <row r="52" spans="1:21">
      <c r="A52">
        <v>49</v>
      </c>
      <c r="B52" t="s">
        <v>281</v>
      </c>
      <c r="C52" t="s">
        <v>23</v>
      </c>
      <c r="D52">
        <v>4</v>
      </c>
    </row>
    <row r="59" spans="1:21">
      <c r="O59" s="40" t="s">
        <v>396</v>
      </c>
      <c r="P59" s="41"/>
      <c r="Q59" s="41"/>
    </row>
    <row r="60" spans="1:21">
      <c r="B60" s="40" t="s">
        <v>360</v>
      </c>
      <c r="C60" s="41"/>
      <c r="D60" s="41"/>
      <c r="F60" s="40" t="s">
        <v>362</v>
      </c>
      <c r="G60" s="41"/>
      <c r="H60" s="41"/>
      <c r="K60" s="40" t="s">
        <v>394</v>
      </c>
      <c r="L60" s="41"/>
      <c r="M60" s="41"/>
      <c r="O60" t="s">
        <v>230</v>
      </c>
      <c r="P60" t="s">
        <v>231</v>
      </c>
      <c r="Q60" t="s">
        <v>232</v>
      </c>
      <c r="S60" s="40" t="s">
        <v>397</v>
      </c>
      <c r="T60" s="41"/>
      <c r="U60" s="41"/>
    </row>
    <row r="61" spans="1:21">
      <c r="B61" s="16" t="s">
        <v>230</v>
      </c>
      <c r="C61" s="16" t="s">
        <v>231</v>
      </c>
      <c r="D61" s="16" t="s">
        <v>232</v>
      </c>
      <c r="F61" s="16" t="s">
        <v>230</v>
      </c>
      <c r="G61" t="s">
        <v>231</v>
      </c>
      <c r="H61" t="s">
        <v>232</v>
      </c>
      <c r="K61" s="16" t="s">
        <v>230</v>
      </c>
      <c r="L61" s="16" t="s">
        <v>231</v>
      </c>
      <c r="M61" s="16" t="s">
        <v>232</v>
      </c>
      <c r="O61" t="s">
        <v>385</v>
      </c>
      <c r="P61" t="s">
        <v>23</v>
      </c>
      <c r="Q61">
        <v>4</v>
      </c>
      <c r="S61" t="s">
        <v>230</v>
      </c>
      <c r="T61" t="s">
        <v>231</v>
      </c>
      <c r="U61" t="s">
        <v>232</v>
      </c>
    </row>
    <row r="62" spans="1:21">
      <c r="B62" t="s">
        <v>354</v>
      </c>
      <c r="C62" t="s">
        <v>23</v>
      </c>
      <c r="D62">
        <v>4</v>
      </c>
      <c r="F62" t="s">
        <v>361</v>
      </c>
      <c r="G62" t="s">
        <v>23</v>
      </c>
      <c r="H62">
        <v>4</v>
      </c>
      <c r="K62" t="s">
        <v>363</v>
      </c>
      <c r="L62" t="s">
        <v>23</v>
      </c>
      <c r="M62">
        <v>4</v>
      </c>
      <c r="O62" t="s">
        <v>386</v>
      </c>
      <c r="P62" t="s">
        <v>23</v>
      </c>
      <c r="Q62">
        <v>4</v>
      </c>
      <c r="S62" t="s">
        <v>395</v>
      </c>
      <c r="T62" t="s">
        <v>23</v>
      </c>
      <c r="U62">
        <v>4</v>
      </c>
    </row>
    <row r="63" spans="1:21">
      <c r="B63" t="s">
        <v>355</v>
      </c>
      <c r="C63" t="s">
        <v>236</v>
      </c>
      <c r="D63">
        <v>50</v>
      </c>
      <c r="F63" t="s">
        <v>354</v>
      </c>
      <c r="G63" t="s">
        <v>23</v>
      </c>
      <c r="H63">
        <v>4</v>
      </c>
      <c r="K63" t="s">
        <v>364</v>
      </c>
      <c r="L63" t="s">
        <v>236</v>
      </c>
      <c r="M63">
        <v>63</v>
      </c>
      <c r="O63" t="s">
        <v>387</v>
      </c>
      <c r="P63" t="s">
        <v>236</v>
      </c>
      <c r="Q63">
        <v>50</v>
      </c>
      <c r="S63" t="s">
        <v>385</v>
      </c>
      <c r="T63" t="s">
        <v>23</v>
      </c>
      <c r="U63">
        <v>4</v>
      </c>
    </row>
    <row r="64" spans="1:21">
      <c r="B64" t="s">
        <v>356</v>
      </c>
      <c r="C64" t="s">
        <v>61</v>
      </c>
      <c r="D64">
        <v>2</v>
      </c>
      <c r="F64" t="s">
        <v>302</v>
      </c>
      <c r="G64" t="s">
        <v>23</v>
      </c>
      <c r="H64">
        <v>4</v>
      </c>
      <c r="K64" t="s">
        <v>217</v>
      </c>
      <c r="L64" t="s">
        <v>61</v>
      </c>
      <c r="M64">
        <v>2</v>
      </c>
      <c r="O64" t="s">
        <v>388</v>
      </c>
      <c r="P64" t="s">
        <v>61</v>
      </c>
      <c r="Q64">
        <v>2</v>
      </c>
      <c r="S64" t="s">
        <v>234</v>
      </c>
      <c r="T64" t="s">
        <v>23</v>
      </c>
      <c r="U64">
        <v>4</v>
      </c>
    </row>
    <row r="65" spans="2:21">
      <c r="B65" t="s">
        <v>342</v>
      </c>
      <c r="C65" t="s">
        <v>236</v>
      </c>
      <c r="D65">
        <v>100</v>
      </c>
      <c r="F65" t="s">
        <v>243</v>
      </c>
      <c r="G65" t="s">
        <v>23</v>
      </c>
      <c r="H65">
        <v>4</v>
      </c>
      <c r="K65" t="s">
        <v>365</v>
      </c>
      <c r="L65" t="s">
        <v>64</v>
      </c>
      <c r="M65">
        <v>8</v>
      </c>
      <c r="O65" t="s">
        <v>389</v>
      </c>
      <c r="P65" t="s">
        <v>236</v>
      </c>
      <c r="Q65">
        <v>100</v>
      </c>
      <c r="S65" t="s">
        <v>233</v>
      </c>
      <c r="T65" t="s">
        <v>23</v>
      </c>
      <c r="U65">
        <v>4</v>
      </c>
    </row>
    <row r="66" spans="2:21">
      <c r="B66" t="s">
        <v>357</v>
      </c>
      <c r="C66" t="s">
        <v>236</v>
      </c>
      <c r="D66">
        <v>500</v>
      </c>
      <c r="F66" t="s">
        <v>303</v>
      </c>
      <c r="G66" t="s">
        <v>65</v>
      </c>
      <c r="H66">
        <v>1</v>
      </c>
      <c r="K66" t="s">
        <v>366</v>
      </c>
      <c r="L66" t="s">
        <v>236</v>
      </c>
      <c r="M66">
        <v>255</v>
      </c>
      <c r="O66" t="s">
        <v>390</v>
      </c>
      <c r="P66" t="s">
        <v>248</v>
      </c>
      <c r="Q66">
        <v>17</v>
      </c>
    </row>
    <row r="67" spans="2:21">
      <c r="B67" t="s">
        <v>358</v>
      </c>
      <c r="C67" t="s">
        <v>236</v>
      </c>
      <c r="D67">
        <v>100</v>
      </c>
      <c r="F67" t="s">
        <v>304</v>
      </c>
      <c r="G67" t="s">
        <v>236</v>
      </c>
      <c r="H67">
        <v>100</v>
      </c>
      <c r="K67" t="s">
        <v>53</v>
      </c>
      <c r="L67" t="s">
        <v>236</v>
      </c>
      <c r="M67">
        <v>255</v>
      </c>
      <c r="O67" t="s">
        <v>391</v>
      </c>
      <c r="P67" t="s">
        <v>248</v>
      </c>
      <c r="Q67">
        <v>17</v>
      </c>
    </row>
    <row r="68" spans="2:21">
      <c r="B68" t="s">
        <v>359</v>
      </c>
      <c r="C68" t="s">
        <v>23</v>
      </c>
      <c r="D68">
        <v>4</v>
      </c>
      <c r="F68" t="s">
        <v>305</v>
      </c>
      <c r="G68" t="s">
        <v>248</v>
      </c>
      <c r="H68">
        <v>17</v>
      </c>
      <c r="K68" t="s">
        <v>367</v>
      </c>
      <c r="L68" t="s">
        <v>23</v>
      </c>
      <c r="M68">
        <v>4</v>
      </c>
      <c r="O68" t="s">
        <v>392</v>
      </c>
      <c r="P68" t="s">
        <v>248</v>
      </c>
      <c r="Q68">
        <v>17</v>
      </c>
    </row>
    <row r="69" spans="2:21">
      <c r="B69" t="s">
        <v>35</v>
      </c>
      <c r="C69" t="s">
        <v>63</v>
      </c>
      <c r="D69">
        <v>8</v>
      </c>
      <c r="F69" t="s">
        <v>94</v>
      </c>
      <c r="G69" t="s">
        <v>248</v>
      </c>
      <c r="H69">
        <v>17</v>
      </c>
      <c r="K69" t="s">
        <v>368</v>
      </c>
      <c r="L69" t="s">
        <v>64</v>
      </c>
      <c r="M69">
        <v>8</v>
      </c>
      <c r="O69" t="s">
        <v>393</v>
      </c>
      <c r="P69" t="s">
        <v>23</v>
      </c>
      <c r="Q69">
        <v>4</v>
      </c>
    </row>
    <row r="70" spans="2:21">
      <c r="F70" t="s">
        <v>53</v>
      </c>
      <c r="G70" t="s">
        <v>236</v>
      </c>
      <c r="H70">
        <v>500</v>
      </c>
      <c r="K70" t="s">
        <v>369</v>
      </c>
      <c r="L70" t="s">
        <v>23</v>
      </c>
      <c r="M70">
        <v>4</v>
      </c>
      <c r="O70" t="s">
        <v>53</v>
      </c>
      <c r="P70" t="s">
        <v>236</v>
      </c>
      <c r="Q70">
        <v>250</v>
      </c>
    </row>
    <row r="71" spans="2:21">
      <c r="G71" t="s">
        <v>34</v>
      </c>
      <c r="H71" t="s">
        <v>23</v>
      </c>
      <c r="K71" t="s">
        <v>370</v>
      </c>
      <c r="L71" t="s">
        <v>236</v>
      </c>
      <c r="M71">
        <v>100</v>
      </c>
      <c r="O71" t="s">
        <v>34</v>
      </c>
      <c r="P71" t="s">
        <v>23</v>
      </c>
      <c r="Q71">
        <v>4</v>
      </c>
    </row>
    <row r="72" spans="2:21">
      <c r="G72" t="s">
        <v>35</v>
      </c>
      <c r="H72" t="s">
        <v>63</v>
      </c>
      <c r="K72" t="s">
        <v>371</v>
      </c>
      <c r="L72" t="s">
        <v>236</v>
      </c>
      <c r="M72">
        <v>100</v>
      </c>
      <c r="O72" t="s">
        <v>334</v>
      </c>
      <c r="P72" t="s">
        <v>63</v>
      </c>
      <c r="Q72">
        <v>8</v>
      </c>
    </row>
    <row r="73" spans="2:21">
      <c r="K73" t="s">
        <v>372</v>
      </c>
      <c r="L73" t="s">
        <v>23</v>
      </c>
      <c r="M73">
        <v>4</v>
      </c>
    </row>
    <row r="74" spans="2:21">
      <c r="K74" t="s">
        <v>344</v>
      </c>
      <c r="L74" t="s">
        <v>65</v>
      </c>
      <c r="M74">
        <v>1</v>
      </c>
    </row>
    <row r="75" spans="2:21">
      <c r="K75" t="s">
        <v>373</v>
      </c>
      <c r="L75" t="s">
        <v>23</v>
      </c>
      <c r="M75">
        <v>4</v>
      </c>
    </row>
    <row r="76" spans="2:21">
      <c r="K76" t="s">
        <v>374</v>
      </c>
      <c r="L76" t="s">
        <v>248</v>
      </c>
      <c r="M76">
        <v>17</v>
      </c>
    </row>
    <row r="77" spans="2:21">
      <c r="K77" t="s">
        <v>375</v>
      </c>
      <c r="L77" t="s">
        <v>248</v>
      </c>
      <c r="M77">
        <v>17</v>
      </c>
    </row>
    <row r="78" spans="2:21">
      <c r="K78" t="s">
        <v>376</v>
      </c>
      <c r="L78" t="s">
        <v>248</v>
      </c>
      <c r="M78">
        <v>17</v>
      </c>
    </row>
    <row r="79" spans="2:21">
      <c r="B79" s="38"/>
      <c r="C79" s="38"/>
      <c r="D79" s="38"/>
      <c r="F79" s="38"/>
      <c r="G79" s="38"/>
      <c r="H79" s="38"/>
      <c r="K79" t="s">
        <v>377</v>
      </c>
      <c r="L79" t="s">
        <v>23</v>
      </c>
      <c r="M79">
        <v>4</v>
      </c>
    </row>
    <row r="80" spans="2:21">
      <c r="B80" s="16"/>
      <c r="C80" s="16"/>
      <c r="D80" s="16"/>
      <c r="K80" t="s">
        <v>378</v>
      </c>
      <c r="L80" t="s">
        <v>23</v>
      </c>
      <c r="M80">
        <v>4</v>
      </c>
    </row>
    <row r="81" spans="11:13">
      <c r="K81" t="s">
        <v>379</v>
      </c>
      <c r="L81" t="s">
        <v>23</v>
      </c>
      <c r="M81">
        <v>4</v>
      </c>
    </row>
    <row r="82" spans="11:13">
      <c r="K82" t="s">
        <v>380</v>
      </c>
      <c r="L82" t="s">
        <v>23</v>
      </c>
      <c r="M82">
        <v>4</v>
      </c>
    </row>
    <row r="83" spans="11:13">
      <c r="K83" t="s">
        <v>381</v>
      </c>
      <c r="L83" t="s">
        <v>23</v>
      </c>
      <c r="M83">
        <v>4</v>
      </c>
    </row>
    <row r="84" spans="11:13">
      <c r="K84" t="s">
        <v>382</v>
      </c>
      <c r="L84" t="s">
        <v>23</v>
      </c>
      <c r="M84">
        <v>4</v>
      </c>
    </row>
    <row r="85" spans="11:13">
      <c r="K85" t="s">
        <v>252</v>
      </c>
      <c r="L85" t="s">
        <v>63</v>
      </c>
      <c r="M85">
        <v>8</v>
      </c>
    </row>
    <row r="86" spans="11:13">
      <c r="K86" t="s">
        <v>283</v>
      </c>
      <c r="L86" t="s">
        <v>63</v>
      </c>
      <c r="M86">
        <v>8</v>
      </c>
    </row>
    <row r="87" spans="11:13">
      <c r="K87" t="s">
        <v>357</v>
      </c>
      <c r="L87" t="s">
        <v>236</v>
      </c>
      <c r="M87">
        <v>500</v>
      </c>
    </row>
    <row r="88" spans="11:13">
      <c r="K88" t="s">
        <v>34</v>
      </c>
      <c r="L88" t="s">
        <v>23</v>
      </c>
      <c r="M88">
        <v>4</v>
      </c>
    </row>
    <row r="89" spans="11:13">
      <c r="K89" t="s">
        <v>383</v>
      </c>
      <c r="L89" t="s">
        <v>63</v>
      </c>
      <c r="M89">
        <v>8</v>
      </c>
    </row>
    <row r="90" spans="11:13">
      <c r="K90" t="s">
        <v>384</v>
      </c>
      <c r="L90" t="s">
        <v>23</v>
      </c>
      <c r="M90">
        <v>4</v>
      </c>
    </row>
    <row r="98" spans="2:8">
      <c r="B98" s="38" t="s">
        <v>408</v>
      </c>
      <c r="C98" s="38"/>
      <c r="D98" s="38"/>
      <c r="F98" s="38" t="s">
        <v>411</v>
      </c>
      <c r="G98" s="38"/>
      <c r="H98" s="38"/>
    </row>
    <row r="99" spans="2:8">
      <c r="B99" s="16" t="s">
        <v>230</v>
      </c>
      <c r="C99" s="16" t="s">
        <v>231</v>
      </c>
      <c r="D99" s="16" t="s">
        <v>232</v>
      </c>
      <c r="F99" t="s">
        <v>230</v>
      </c>
      <c r="G99" t="s">
        <v>231</v>
      </c>
      <c r="H99" t="s">
        <v>232</v>
      </c>
    </row>
    <row r="100" spans="2:8">
      <c r="B100" t="s">
        <v>386</v>
      </c>
      <c r="C100" t="s">
        <v>23</v>
      </c>
      <c r="D100">
        <v>4</v>
      </c>
      <c r="F100" t="s">
        <v>234</v>
      </c>
      <c r="G100" t="s">
        <v>23</v>
      </c>
      <c r="H100">
        <v>4</v>
      </c>
    </row>
    <row r="101" spans="2:8">
      <c r="B101" t="s">
        <v>399</v>
      </c>
      <c r="C101" t="s">
        <v>236</v>
      </c>
      <c r="D101">
        <v>200</v>
      </c>
      <c r="F101" t="s">
        <v>386</v>
      </c>
      <c r="G101" t="s">
        <v>23</v>
      </c>
      <c r="H101">
        <v>4</v>
      </c>
    </row>
    <row r="102" spans="2:8">
      <c r="B102" t="s">
        <v>400</v>
      </c>
      <c r="C102" t="s">
        <v>236</v>
      </c>
      <c r="D102">
        <v>50</v>
      </c>
      <c r="F102" t="s">
        <v>182</v>
      </c>
      <c r="G102" t="s">
        <v>23</v>
      </c>
      <c r="H102">
        <v>4</v>
      </c>
    </row>
    <row r="103" spans="2:8">
      <c r="B103" t="s">
        <v>401</v>
      </c>
      <c r="C103" t="s">
        <v>23</v>
      </c>
      <c r="D103">
        <v>4</v>
      </c>
      <c r="F103" t="s">
        <v>402</v>
      </c>
      <c r="G103" t="s">
        <v>248</v>
      </c>
      <c r="H103">
        <v>17</v>
      </c>
    </row>
    <row r="104" spans="2:8">
      <c r="B104" t="s">
        <v>242</v>
      </c>
      <c r="C104" t="s">
        <v>61</v>
      </c>
      <c r="D104">
        <v>2</v>
      </c>
      <c r="F104" t="s">
        <v>34</v>
      </c>
      <c r="G104" t="s">
        <v>23</v>
      </c>
      <c r="H104">
        <v>4</v>
      </c>
    </row>
    <row r="105" spans="2:8">
      <c r="B105" t="s">
        <v>284</v>
      </c>
      <c r="C105" t="s">
        <v>23</v>
      </c>
      <c r="D105">
        <v>4</v>
      </c>
      <c r="F105" t="s">
        <v>383</v>
      </c>
      <c r="G105" t="s">
        <v>63</v>
      </c>
      <c r="H105">
        <v>8</v>
      </c>
    </row>
    <row r="106" spans="2:8">
      <c r="B106" t="s">
        <v>402</v>
      </c>
      <c r="C106" t="s">
        <v>248</v>
      </c>
      <c r="D106">
        <v>17</v>
      </c>
      <c r="F106" t="s">
        <v>409</v>
      </c>
      <c r="G106" t="s">
        <v>236</v>
      </c>
      <c r="H106">
        <v>500</v>
      </c>
    </row>
    <row r="107" spans="2:8">
      <c r="B107" t="s">
        <v>403</v>
      </c>
      <c r="C107" t="s">
        <v>65</v>
      </c>
      <c r="D107">
        <v>1</v>
      </c>
      <c r="F107" t="s">
        <v>410</v>
      </c>
      <c r="G107" t="s">
        <v>236</v>
      </c>
      <c r="H107">
        <v>50</v>
      </c>
    </row>
    <row r="108" spans="2:8">
      <c r="B108" t="s">
        <v>404</v>
      </c>
      <c r="C108" t="s">
        <v>63</v>
      </c>
      <c r="D108">
        <v>8</v>
      </c>
    </row>
    <row r="109" spans="2:8">
      <c r="B109" t="s">
        <v>405</v>
      </c>
      <c r="C109" t="s">
        <v>63</v>
      </c>
      <c r="D109">
        <v>8</v>
      </c>
    </row>
    <row r="110" spans="2:8">
      <c r="B110" t="s">
        <v>34</v>
      </c>
      <c r="C110" t="s">
        <v>23</v>
      </c>
      <c r="D110">
        <v>4</v>
      </c>
    </row>
    <row r="111" spans="2:8">
      <c r="B111" t="s">
        <v>383</v>
      </c>
      <c r="C111" t="s">
        <v>63</v>
      </c>
      <c r="D111">
        <v>8</v>
      </c>
    </row>
    <row r="112" spans="2:8">
      <c r="B112" t="s">
        <v>406</v>
      </c>
      <c r="C112" t="s">
        <v>61</v>
      </c>
      <c r="D112">
        <v>2</v>
      </c>
    </row>
    <row r="113" spans="2:4">
      <c r="B113" t="s">
        <v>407</v>
      </c>
      <c r="C113" t="s">
        <v>61</v>
      </c>
      <c r="D113">
        <v>2</v>
      </c>
    </row>
  </sheetData>
  <mergeCells count="17">
    <mergeCell ref="B98:D98"/>
    <mergeCell ref="F98:H98"/>
    <mergeCell ref="S60:U60"/>
    <mergeCell ref="O59:Q59"/>
    <mergeCell ref="K60:M60"/>
    <mergeCell ref="F60:H60"/>
    <mergeCell ref="B60:D60"/>
    <mergeCell ref="T2:V2"/>
    <mergeCell ref="X2:Z2"/>
    <mergeCell ref="AG2:AI2"/>
    <mergeCell ref="B79:D79"/>
    <mergeCell ref="F79:H79"/>
    <mergeCell ref="AB2:AD2"/>
    <mergeCell ref="B2:D2"/>
    <mergeCell ref="F2:H2"/>
    <mergeCell ref="K2:M2"/>
    <mergeCell ref="O2:Q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C2:E3"/>
  <sheetViews>
    <sheetView workbookViewId="0">
      <selection activeCell="E3" sqref="E3"/>
    </sheetView>
  </sheetViews>
  <sheetFormatPr defaultRowHeight="15"/>
  <cols>
    <col min="3" max="3" width="21.140625" customWidth="1"/>
    <col min="4" max="4" width="16" customWidth="1"/>
    <col min="5" max="5" width="19.5703125" customWidth="1"/>
  </cols>
  <sheetData>
    <row r="2" spans="3:5">
      <c r="C2" t="s">
        <v>434</v>
      </c>
      <c r="D2" t="s">
        <v>435</v>
      </c>
      <c r="E2" t="s">
        <v>347</v>
      </c>
    </row>
    <row r="3" spans="3:5">
      <c r="C3">
        <v>40</v>
      </c>
      <c r="D3">
        <v>2</v>
      </c>
      <c r="E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PIInformation</vt:lpstr>
      <vt:lpstr>PI-SC</vt:lpstr>
      <vt:lpstr>LabdipOrder</vt:lpstr>
      <vt:lpstr>DyeingOrder</vt:lpstr>
      <vt:lpstr>PTU</vt:lpstr>
      <vt:lpstr>DylineSheet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ICS-15 Admin</dc:creator>
  <cp:lastModifiedBy>ICS-15 Admin</cp:lastModifiedBy>
  <dcterms:created xsi:type="dcterms:W3CDTF">2016-04-10T12:09:36Z</dcterms:created>
  <dcterms:modified xsi:type="dcterms:W3CDTF">2018-07-07T08:12:52Z</dcterms:modified>
</cp:coreProperties>
</file>