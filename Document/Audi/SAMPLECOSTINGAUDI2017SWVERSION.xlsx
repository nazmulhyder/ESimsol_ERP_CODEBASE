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195" yWindow="465" windowWidth="20730" windowHeight="11760" tabRatio="814"/>
  </bookViews>
  <sheets>
    <sheet name=" Landed Cost" sheetId="21" r:id="rId1"/>
    <sheet name="Rates" sheetId="12" r:id="rId2"/>
  </sheets>
  <externalReferences>
    <externalReference r:id="rId3"/>
  </externalReferences>
  <definedNames>
    <definedName name="EURTAKA" localSheetId="0">[1]Rates!$B$1</definedName>
    <definedName name="EURTAKA">Rates!$B$1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7" i="21"/>
  <c r="O6"/>
  <c r="J3"/>
  <c r="E3"/>
  <c r="I11"/>
  <c r="C11"/>
  <c r="K3"/>
  <c r="O4"/>
  <c r="O3"/>
  <c r="M3"/>
  <c r="L3"/>
  <c r="H3"/>
  <c r="G3"/>
  <c r="D3"/>
  <c r="E11"/>
  <c r="F11"/>
  <c r="H11"/>
  <c r="J11"/>
  <c r="K11"/>
  <c r="K12"/>
  <c r="G11"/>
  <c r="D11"/>
  <c r="B11"/>
  <c r="D4"/>
  <c r="J14" l="1"/>
  <c r="D6" l="1"/>
  <c r="E6"/>
  <c r="D5"/>
  <c r="E5"/>
  <c r="E4"/>
  <c r="G6"/>
  <c r="H6"/>
  <c r="J6"/>
  <c r="M6"/>
  <c r="K6"/>
  <c r="L6"/>
  <c r="G5"/>
  <c r="H5"/>
  <c r="J5"/>
  <c r="M5"/>
  <c r="K5"/>
  <c r="L5"/>
  <c r="G4"/>
  <c r="H4"/>
  <c r="J4"/>
  <c r="M4"/>
  <c r="K4"/>
  <c r="L4"/>
  <c r="S6"/>
  <c r="T6"/>
  <c r="U6"/>
  <c r="V6"/>
  <c r="S5"/>
  <c r="T5"/>
  <c r="U5"/>
  <c r="S4"/>
  <c r="T4"/>
  <c r="U4"/>
  <c r="V5"/>
  <c r="V4"/>
  <c r="S3"/>
  <c r="T3"/>
  <c r="U3"/>
  <c r="V3"/>
</calcChain>
</file>

<file path=xl/sharedStrings.xml><?xml version="1.0" encoding="utf-8"?>
<sst xmlns="http://schemas.openxmlformats.org/spreadsheetml/2006/main" count="32" uniqueCount="32">
  <si>
    <t>%</t>
  </si>
  <si>
    <t>Engine Capacity</t>
  </si>
  <si>
    <t>Duty Percentage (%)</t>
  </si>
  <si>
    <t>Q7 2.0 TFSI</t>
  </si>
  <si>
    <t>A6 1.8TFSI</t>
  </si>
  <si>
    <t>Margin %</t>
  </si>
  <si>
    <t>Ex Showroom in BDTK</t>
  </si>
  <si>
    <t>Landed Cost in BDTK</t>
  </si>
  <si>
    <t>Price of Vehicle C.I.F Dhaka (EUR)</t>
  </si>
  <si>
    <t>Ex Showroom in EURO</t>
  </si>
  <si>
    <t>Euro to TAKA</t>
  </si>
  <si>
    <t>PROFIT IN COGS (%)</t>
  </si>
  <si>
    <t>Margin</t>
  </si>
  <si>
    <t>Customs Duty</t>
  </si>
  <si>
    <t>Local Transportation</t>
  </si>
  <si>
    <t>Landed Cost in EURO</t>
  </si>
  <si>
    <t>Margin in EURO</t>
  </si>
  <si>
    <t>Margin in BDT</t>
  </si>
  <si>
    <t>A4 2.0 TFSI</t>
  </si>
  <si>
    <t>Q3 2.0 TFSI</t>
  </si>
  <si>
    <t>Customs Clearing Misc. Charges &amp;  Insurance-Local (3%)</t>
  </si>
  <si>
    <t>Base Value</t>
  </si>
  <si>
    <t>Amount in BDT</t>
  </si>
  <si>
    <t>Customs Duty(CD) (25%)</t>
  </si>
  <si>
    <t>Regulatory Duty(RD) (5%)</t>
  </si>
  <si>
    <t>Supplementary Duty(SD) (100%)</t>
  </si>
  <si>
    <t>VAT (15%)</t>
  </si>
  <si>
    <t>Advance Income Tax(AIT) (5%)</t>
  </si>
  <si>
    <t>Amount in BDT+CD+RD+SD*26.67%</t>
  </si>
  <si>
    <t>Amount in BDT+CD+RD+SD</t>
  </si>
  <si>
    <t>Advance Trade Vat(ATV) (4%)</t>
  </si>
  <si>
    <t>Total Duty in BDT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</si>
</sst>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3" formatCode="_(* #,##0.00_);_(* \(#,##0.00\);_(* &quot;-&quot;??_);_(@_)"/>
    <numFmt numFmtId="164" formatCode="_-* #,##0.00_-;\-* #,##0.00_-;_-* &quot;-&quot;??_-;_-@_-"/>
    <numFmt numFmtId="165" formatCode="0.00_)"/>
    <numFmt numFmtId="166" formatCode="_(* #,##0_);_(* \(#,##0\);_(* &quot;-&quot;??_);_(@_)"/>
    <numFmt numFmtId="167" formatCode="0.0%"/>
    <numFmt numFmtId="168" formatCode="_([$€-2]\ * #,##0_);_([$€-2]\ * \(#,##0\);_([$€-2]\ * &quot;-&quot;??_);_(@_)"/>
    <numFmt numFmtId="169" formatCode="0.00000%"/>
    <numFmt numFmtId="170" formatCode="_([$€-2]\ * #,##0.00_);_([$€-2]\ * \(#,##0.00\);_([$€-2]\ * &quot;-&quot;??_);_(@_)"/>
  </numFmts>
  <fonts count="27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Geneva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6"/>
      <name val="Helv"/>
      <family val="2"/>
    </font>
    <font>
      <sz val="10"/>
      <name val="Arial"/>
      <family val="2"/>
    </font>
    <font>
      <sz val="11"/>
      <name val="ＭＳ 明朝"/>
      <family val="1"/>
      <charset val="128"/>
    </font>
    <font>
      <sz val="14"/>
      <color indexed="8"/>
      <name val="Arial"/>
      <family val="2"/>
    </font>
    <font>
      <b/>
      <sz val="14"/>
      <color rgb="FF0000CC"/>
      <name val="Arial"/>
      <family val="2"/>
    </font>
    <font>
      <sz val="10"/>
      <color indexed="8"/>
      <name val="Cambria"/>
      <family val="1"/>
      <scheme val="major"/>
    </font>
    <font>
      <b/>
      <sz val="11"/>
      <color theme="0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color rgb="FF0000CC"/>
      <name val="Cambria"/>
      <family val="1"/>
      <scheme val="major"/>
    </font>
    <font>
      <sz val="10"/>
      <color theme="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8"/>
      <color indexed="8"/>
      <name val="Cambria"/>
      <family val="1"/>
      <scheme val="major"/>
    </font>
    <font>
      <b/>
      <sz val="12"/>
      <color rgb="FF0000CC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3">
    <xf numFmtId="0" fontId="0" fillId="0" borderId="0"/>
    <xf numFmtId="4" fontId="4" fillId="0" borderId="0" applyFont="0" applyFill="0" applyBorder="0" applyAlignment="0" applyProtection="0"/>
    <xf numFmtId="0" fontId="5" fillId="0" borderId="0" applyFill="0" applyBorder="0" applyAlignment="0"/>
    <xf numFmtId="0" fontId="6" fillId="0" borderId="0"/>
    <xf numFmtId="43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5" fontId="7" fillId="0" borderId="0"/>
    <xf numFmtId="38" fontId="8" fillId="2" borderId="0" applyNumberFormat="0" applyBorder="0" applyAlignment="0" applyProtection="0"/>
    <xf numFmtId="0" fontId="9" fillId="0" borderId="0">
      <alignment horizontal="left"/>
    </xf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8" fontId="4" fillId="0" borderId="0" applyFont="0" applyFill="0" applyBorder="0" applyAlignment="0" applyProtection="0"/>
    <xf numFmtId="10" fontId="8" fillId="2" borderId="3" applyNumberFormat="0" applyBorder="0" applyAlignment="0" applyProtection="0"/>
    <xf numFmtId="0" fontId="11" fillId="0" borderId="4"/>
    <xf numFmtId="0" fontId="12" fillId="0" borderId="0"/>
    <xf numFmtId="165" fontId="13" fillId="0" borderId="0"/>
    <xf numFmtId="0" fontId="3" fillId="0" borderId="0"/>
    <xf numFmtId="9" fontId="2" fillId="0" borderId="0" applyFont="0" applyFill="0" applyBorder="0" applyAlignment="0" applyProtection="0"/>
    <xf numFmtId="10" fontId="14" fillId="0" borderId="0" applyFont="0" applyFill="0" applyBorder="0" applyAlignment="0" applyProtection="0"/>
    <xf numFmtId="0" fontId="11" fillId="0" borderId="0"/>
    <xf numFmtId="0" fontId="15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16" fillId="0" borderId="5" xfId="0" applyFont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vertical="center"/>
    </xf>
    <xf numFmtId="10" fontId="18" fillId="0" borderId="0" xfId="18" applyNumberFormat="1" applyFont="1" applyAlignment="1">
      <alignment vertical="center"/>
    </xf>
    <xf numFmtId="0" fontId="21" fillId="0" borderId="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10" fontId="22" fillId="0" borderId="0" xfId="18" applyNumberFormat="1" applyFont="1" applyBorder="1" applyAlignment="1">
      <alignment horizontal="center" vertical="center" wrapText="1"/>
    </xf>
    <xf numFmtId="0" fontId="20" fillId="0" borderId="3" xfId="0" applyFont="1" applyFill="1" applyBorder="1" applyAlignment="1">
      <alignment vertical="center"/>
    </xf>
    <xf numFmtId="168" fontId="20" fillId="0" borderId="3" xfId="4" applyNumberFormat="1" applyFont="1" applyFill="1" applyBorder="1" applyAlignment="1">
      <alignment vertical="center"/>
    </xf>
    <xf numFmtId="10" fontId="20" fillId="0" borderId="3" xfId="0" applyNumberFormat="1" applyFont="1" applyFill="1" applyBorder="1" applyAlignment="1">
      <alignment vertical="center"/>
    </xf>
    <xf numFmtId="166" fontId="18" fillId="0" borderId="3" xfId="4" applyNumberFormat="1" applyFont="1" applyBorder="1" applyAlignment="1">
      <alignment horizontal="center" vertical="center" wrapText="1"/>
    </xf>
    <xf numFmtId="10" fontId="18" fillId="0" borderId="3" xfId="18" applyNumberFormat="1" applyFont="1" applyBorder="1" applyAlignment="1">
      <alignment horizontal="center" vertical="center" wrapText="1"/>
    </xf>
    <xf numFmtId="166" fontId="23" fillId="0" borderId="3" xfId="4" applyNumberFormat="1" applyFont="1" applyBorder="1" applyAlignment="1">
      <alignment horizontal="center" vertical="center" wrapText="1"/>
    </xf>
    <xf numFmtId="166" fontId="22" fillId="0" borderId="0" xfId="4" applyNumberFormat="1" applyFont="1" applyBorder="1" applyAlignment="1">
      <alignment horizontal="center" vertical="center" wrapText="1"/>
    </xf>
    <xf numFmtId="166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 applyAlignment="1">
      <alignment vertical="center"/>
    </xf>
    <xf numFmtId="10" fontId="22" fillId="0" borderId="0" xfId="18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166" fontId="25" fillId="0" borderId="3" xfId="4" applyNumberFormat="1" applyFont="1" applyBorder="1" applyAlignment="1">
      <alignment horizontal="center" vertical="center" wrapText="1"/>
    </xf>
    <xf numFmtId="0" fontId="26" fillId="0" borderId="3" xfId="0" applyFont="1" applyBorder="1" applyAlignment="1">
      <alignment vertical="center" wrapText="1"/>
    </xf>
    <xf numFmtId="0" fontId="26" fillId="0" borderId="3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/>
    </xf>
    <xf numFmtId="168" fontId="20" fillId="0" borderId="0" xfId="4" applyNumberFormat="1" applyFont="1" applyFill="1" applyBorder="1" applyAlignment="1">
      <alignment vertical="center"/>
    </xf>
    <xf numFmtId="166" fontId="18" fillId="0" borderId="0" xfId="4" applyNumberFormat="1" applyFont="1" applyBorder="1" applyAlignment="1">
      <alignment horizontal="center" vertical="center" wrapText="1"/>
    </xf>
    <xf numFmtId="10" fontId="18" fillId="0" borderId="0" xfId="18" applyNumberFormat="1" applyFont="1" applyBorder="1" applyAlignment="1">
      <alignment horizontal="center" vertical="center" wrapText="1"/>
    </xf>
    <xf numFmtId="166" fontId="23" fillId="0" borderId="0" xfId="4" applyNumberFormat="1" applyFont="1" applyBorder="1" applyAlignment="1">
      <alignment horizontal="center" vertical="center" wrapText="1"/>
    </xf>
    <xf numFmtId="166" fontId="25" fillId="0" borderId="0" xfId="4" applyNumberFormat="1" applyFont="1" applyBorder="1" applyAlignment="1">
      <alignment horizontal="center" vertical="center" wrapText="1"/>
    </xf>
    <xf numFmtId="0" fontId="18" fillId="0" borderId="0" xfId="0" applyFont="1" applyBorder="1" applyAlignment="1">
      <alignment vertical="center"/>
    </xf>
    <xf numFmtId="2" fontId="0" fillId="0" borderId="3" xfId="0" applyNumberFormat="1" applyBorder="1" applyAlignment="1">
      <alignment horizontal="center" vertical="center"/>
    </xf>
    <xf numFmtId="168" fontId="18" fillId="0" borderId="0" xfId="0" applyNumberFormat="1" applyFont="1" applyAlignment="1">
      <alignment vertical="center"/>
    </xf>
    <xf numFmtId="166" fontId="18" fillId="0" borderId="0" xfId="0" applyNumberFormat="1" applyFont="1" applyAlignment="1">
      <alignment vertical="center"/>
    </xf>
    <xf numFmtId="9" fontId="18" fillId="0" borderId="0" xfId="0" applyNumberFormat="1" applyFont="1" applyAlignment="1">
      <alignment vertical="center"/>
    </xf>
    <xf numFmtId="43" fontId="18" fillId="0" borderId="0" xfId="0" applyNumberFormat="1" applyFont="1" applyAlignment="1">
      <alignment vertical="center"/>
    </xf>
    <xf numFmtId="169" fontId="20" fillId="0" borderId="3" xfId="0" applyNumberFormat="1" applyFont="1" applyFill="1" applyBorder="1" applyAlignment="1">
      <alignment vertical="center"/>
    </xf>
    <xf numFmtId="170" fontId="20" fillId="0" borderId="3" xfId="4" applyNumberFormat="1" applyFont="1" applyFill="1" applyBorder="1" applyAlignment="1">
      <alignment vertical="center"/>
    </xf>
  </cellXfs>
  <cellStyles count="23">
    <cellStyle name="åÖãÊêÿÇË [0.00]" xfId="1"/>
    <cellStyle name="Calc Currency (0)" xfId="2"/>
    <cellStyle name="category" xfId="3"/>
    <cellStyle name="Comma" xfId="4" builtinId="3"/>
    <cellStyle name="Comma 2" xfId="5"/>
    <cellStyle name="Comma 2 2" xfId="6"/>
    <cellStyle name="Date" xfId="7"/>
    <cellStyle name="Grey" xfId="8"/>
    <cellStyle name="HEADER" xfId="9"/>
    <cellStyle name="Header1" xfId="10"/>
    <cellStyle name="Header2" xfId="11"/>
    <cellStyle name="í â› [0.00]" xfId="12"/>
    <cellStyle name="Input [yellow]" xfId="13"/>
    <cellStyle name="Model" xfId="14"/>
    <cellStyle name="New Times Roman" xfId="15"/>
    <cellStyle name="Normal" xfId="0" builtinId="0"/>
    <cellStyle name="Normal - Style1" xfId="16"/>
    <cellStyle name="Normal 2" xfId="17"/>
    <cellStyle name="Normal 3" xfId="22"/>
    <cellStyle name="Percent" xfId="18" builtinId="5"/>
    <cellStyle name="Percent [2]" xfId="19"/>
    <cellStyle name="subhead" xfId="20"/>
    <cellStyle name="標準_~0025206" xfId="2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jib/AppData/Local/Temp/Temp2_Attachments_20141018.zip/audiPLV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VENUE"/>
      <sheetName val="Equip.&amp; Depriciation"/>
      <sheetName val="EX Retail"/>
      <sheetName val="Profit &amp; Loss "/>
      <sheetName val="Parts"/>
      <sheetName val="Service"/>
      <sheetName val="Rent "/>
      <sheetName val="Rates"/>
      <sheetName val="Cover"/>
      <sheetName val="Basics"/>
      <sheetName val="Sales and Vehicles"/>
      <sheetName val="Staff"/>
      <sheetName val="Facility"/>
      <sheetName val="Financial Input 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>
            <v>100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rgb="FF00B0F0"/>
    <pageSetUpPr fitToPage="1"/>
  </sheetPr>
  <dimension ref="A1:V18"/>
  <sheetViews>
    <sheetView tabSelected="1" zoomScale="82" zoomScaleNormal="82" zoomScalePageLayoutView="82" workbookViewId="0">
      <selection activeCell="B6" sqref="B6"/>
    </sheetView>
  </sheetViews>
  <sheetFormatPr defaultColWidth="11.42578125" defaultRowHeight="12.75"/>
  <cols>
    <col min="1" max="1" width="22.140625" style="5" bestFit="1" customWidth="1"/>
    <col min="2" max="2" width="15.28515625" style="5" bestFit="1" customWidth="1"/>
    <col min="3" max="3" width="13.85546875" style="5" bestFit="1" customWidth="1"/>
    <col min="4" max="4" width="17.85546875" style="5" bestFit="1" customWidth="1"/>
    <col min="5" max="5" width="15" style="5" bestFit="1" customWidth="1"/>
    <col min="6" max="6" width="16.140625" style="5" bestFit="1" customWidth="1"/>
    <col min="7" max="7" width="13.7109375" style="5" bestFit="1" customWidth="1"/>
    <col min="8" max="8" width="14.7109375" style="5" bestFit="1" customWidth="1"/>
    <col min="9" max="9" width="11.85546875" style="5" customWidth="1"/>
    <col min="10" max="10" width="15" style="6" bestFit="1" customWidth="1"/>
    <col min="11" max="11" width="12.5703125" style="5" bestFit="1" customWidth="1"/>
    <col min="12" max="12" width="11.42578125" style="5" customWidth="1"/>
    <col min="13" max="13" width="13" style="5" bestFit="1" customWidth="1"/>
    <col min="14" max="14" width="11.42578125" style="5"/>
    <col min="15" max="15" width="14.28515625" style="5" bestFit="1" customWidth="1"/>
    <col min="16" max="16" width="13" style="5" bestFit="1" customWidth="1"/>
    <col min="17" max="18" width="11.42578125" style="5"/>
    <col min="19" max="22" width="0" style="5" hidden="1" customWidth="1"/>
    <col min="23" max="16384" width="11.42578125" style="5"/>
  </cols>
  <sheetData>
    <row r="1" spans="1:22" s="4" customFormat="1" ht="32.25" customHeight="1"/>
    <row r="2" spans="1:22" s="8" customFormat="1" ht="71.25">
      <c r="A2" s="7" t="s">
        <v>1</v>
      </c>
      <c r="B2" s="7" t="s">
        <v>8</v>
      </c>
      <c r="C2" s="7" t="s">
        <v>2</v>
      </c>
      <c r="D2" s="7" t="s">
        <v>13</v>
      </c>
      <c r="E2" s="7" t="s">
        <v>20</v>
      </c>
      <c r="F2" s="7" t="s">
        <v>14</v>
      </c>
      <c r="G2" s="7" t="s">
        <v>15</v>
      </c>
      <c r="H2" s="7" t="s">
        <v>7</v>
      </c>
      <c r="I2" s="7" t="s">
        <v>5</v>
      </c>
      <c r="J2" s="7" t="s">
        <v>6</v>
      </c>
      <c r="K2" s="7" t="s">
        <v>9</v>
      </c>
      <c r="L2" s="7" t="s">
        <v>16</v>
      </c>
      <c r="M2" s="7" t="s">
        <v>17</v>
      </c>
      <c r="S2" s="9" t="s">
        <v>11</v>
      </c>
      <c r="T2" s="10" t="s">
        <v>12</v>
      </c>
      <c r="U2" s="11" t="s">
        <v>0</v>
      </c>
      <c r="V2" s="10"/>
    </row>
    <row r="3" spans="1:22" ht="27.75" customHeight="1">
      <c r="A3" s="12" t="s">
        <v>18</v>
      </c>
      <c r="B3" s="13">
        <v>52000</v>
      </c>
      <c r="C3" s="38">
        <v>2.1717368000000001</v>
      </c>
      <c r="D3" s="39">
        <f>(B3*C3)</f>
        <v>112930.31360000001</v>
      </c>
      <c r="E3" s="13">
        <f>(B3+D3)*3%</f>
        <v>4947.9094079999995</v>
      </c>
      <c r="F3" s="13">
        <v>750</v>
      </c>
      <c r="G3" s="13">
        <f>B3+D3+E3+F3</f>
        <v>170628.223008</v>
      </c>
      <c r="H3" s="15">
        <f>G3*Rates!$B$4</f>
        <v>15015283.624704</v>
      </c>
      <c r="I3" s="16">
        <v>0.1</v>
      </c>
      <c r="J3" s="17">
        <f>H3/(100%-I3)</f>
        <v>16683648.471893333</v>
      </c>
      <c r="K3" s="13">
        <f>J3/Rates!$B$4</f>
        <v>189586.91445333333</v>
      </c>
      <c r="L3" s="13">
        <f>K3-G3</f>
        <v>18958.69144533333</v>
      </c>
      <c r="M3" s="23">
        <f>J3-H3</f>
        <v>1668364.8471893333</v>
      </c>
      <c r="O3" s="37">
        <f>H3/90</f>
        <v>166836.48471893332</v>
      </c>
      <c r="P3" s="37"/>
      <c r="S3" s="18" t="e">
        <f>#REF!+#REF!*10%</f>
        <v>#REF!</v>
      </c>
      <c r="T3" s="19" t="e">
        <f>S3-#REF!</f>
        <v>#REF!</v>
      </c>
      <c r="U3" s="11" t="e">
        <f>T3/#REF!</f>
        <v>#REF!</v>
      </c>
      <c r="V3" s="11" t="e">
        <f>#REF!/#REF!</f>
        <v>#REF!</v>
      </c>
    </row>
    <row r="4" spans="1:22" ht="27.75" customHeight="1">
      <c r="A4" s="12" t="s">
        <v>4</v>
      </c>
      <c r="B4" s="13">
        <v>55</v>
      </c>
      <c r="C4" s="14">
        <v>2.1717</v>
      </c>
      <c r="D4" s="13">
        <f>(B4*C4)</f>
        <v>119.4435</v>
      </c>
      <c r="E4" s="13">
        <f>(B4+D4)*3%</f>
        <v>5.2333049999999997</v>
      </c>
      <c r="F4" s="13">
        <v>750</v>
      </c>
      <c r="G4" s="13">
        <f t="shared" ref="G4:G6" si="0">B4+D4+E4+F4</f>
        <v>929.67680500000006</v>
      </c>
      <c r="H4" s="15">
        <f>G4*Rates!$B$4</f>
        <v>81811.558840000012</v>
      </c>
      <c r="I4" s="16">
        <v>0.15</v>
      </c>
      <c r="J4" s="17">
        <f t="shared" ref="J4:J6" si="1">H4/(100%-I4)</f>
        <v>96248.892752941189</v>
      </c>
      <c r="K4" s="13">
        <f>J4/Rates!$B$4</f>
        <v>1093.7374176470589</v>
      </c>
      <c r="L4" s="13">
        <f t="shared" ref="L4:L6" si="2">K4-G4</f>
        <v>164.06061264705886</v>
      </c>
      <c r="M4" s="23">
        <f t="shared" ref="M4:M6" si="3">J4-H4</f>
        <v>14437.333912941176</v>
      </c>
      <c r="O4" s="37">
        <f>O3*100</f>
        <v>16683648.471893333</v>
      </c>
      <c r="S4" s="18" t="e">
        <f>#REF!+#REF!*10%</f>
        <v>#REF!</v>
      </c>
      <c r="T4" s="19" t="e">
        <f>S4-#REF!</f>
        <v>#REF!</v>
      </c>
      <c r="U4" s="11" t="e">
        <f>T4/#REF!</f>
        <v>#REF!</v>
      </c>
      <c r="V4" s="11" t="e">
        <f>#REF!/#REF!</f>
        <v>#REF!</v>
      </c>
    </row>
    <row r="5" spans="1:22" ht="27.75" customHeight="1">
      <c r="A5" s="12" t="s">
        <v>19</v>
      </c>
      <c r="B5" s="13">
        <v>100</v>
      </c>
      <c r="C5" s="14">
        <v>2.1717</v>
      </c>
      <c r="D5" s="13">
        <f t="shared" ref="D5:D6" si="4">(B5*C5)</f>
        <v>217.17</v>
      </c>
      <c r="E5" s="13">
        <f>(B5+D5)*3%</f>
        <v>9.5150999999999986</v>
      </c>
      <c r="F5" s="13">
        <v>750</v>
      </c>
      <c r="G5" s="13">
        <f t="shared" si="0"/>
        <v>1076.6850999999999</v>
      </c>
      <c r="H5" s="15">
        <f>G5*Rates!$B$4</f>
        <v>94748.288799999995</v>
      </c>
      <c r="I5" s="16">
        <v>0.15</v>
      </c>
      <c r="J5" s="17">
        <f t="shared" si="1"/>
        <v>111468.57505882352</v>
      </c>
      <c r="K5" s="13">
        <f>J5/Rates!$B$4</f>
        <v>1266.6883529411764</v>
      </c>
      <c r="L5" s="13">
        <f t="shared" si="2"/>
        <v>190.00325294117647</v>
      </c>
      <c r="M5" s="23">
        <f t="shared" si="3"/>
        <v>16720.286258823529</v>
      </c>
      <c r="S5" s="18" t="e">
        <f>#REF!+#REF!*10%</f>
        <v>#REF!</v>
      </c>
      <c r="T5" s="19" t="e">
        <f>S5-#REF!</f>
        <v>#REF!</v>
      </c>
      <c r="U5" s="11" t="e">
        <f>T5/#REF!</f>
        <v>#REF!</v>
      </c>
      <c r="V5" s="11" t="e">
        <f>#REF!/#REF!</f>
        <v>#REF!</v>
      </c>
    </row>
    <row r="6" spans="1:22" ht="27.75" customHeight="1">
      <c r="A6" s="12" t="s">
        <v>3</v>
      </c>
      <c r="B6" s="13">
        <v>45000</v>
      </c>
      <c r="C6" s="14">
        <v>2.1717</v>
      </c>
      <c r="D6" s="13">
        <f t="shared" si="4"/>
        <v>97726.5</v>
      </c>
      <c r="E6" s="13">
        <f>(B6+D6)*3%</f>
        <v>4281.7950000000001</v>
      </c>
      <c r="F6" s="13">
        <v>750</v>
      </c>
      <c r="G6" s="13">
        <f t="shared" si="0"/>
        <v>147758.29500000001</v>
      </c>
      <c r="H6" s="15">
        <f>G6*Rates!$B$4</f>
        <v>13002729.960000001</v>
      </c>
      <c r="I6" s="16">
        <v>0.15</v>
      </c>
      <c r="J6" s="17">
        <f t="shared" si="1"/>
        <v>15297329.364705883</v>
      </c>
      <c r="K6" s="13">
        <f>J6/Rates!$B$4</f>
        <v>173833.28823529414</v>
      </c>
      <c r="L6" s="13">
        <f t="shared" si="2"/>
        <v>26074.993235294125</v>
      </c>
      <c r="M6" s="23">
        <f t="shared" si="3"/>
        <v>2294599.4047058821</v>
      </c>
      <c r="O6" s="37">
        <f>H3/90</f>
        <v>166836.48471893332</v>
      </c>
      <c r="S6" s="18" t="e">
        <f>#REF!+#REF!*12%</f>
        <v>#REF!</v>
      </c>
      <c r="T6" s="19" t="e">
        <f>S6-#REF!</f>
        <v>#REF!</v>
      </c>
      <c r="U6" s="11" t="e">
        <f>T6/#REF!</f>
        <v>#REF!</v>
      </c>
      <c r="V6" s="11" t="e">
        <f>#REF!/#REF!</f>
        <v>#REF!</v>
      </c>
    </row>
    <row r="7" spans="1:22">
      <c r="I7" s="20"/>
      <c r="J7" s="21"/>
      <c r="K7" s="20"/>
      <c r="O7" s="37">
        <f>O6*100</f>
        <v>16683648.471893333</v>
      </c>
    </row>
    <row r="8" spans="1:22">
      <c r="A8" s="22"/>
    </row>
    <row r="9" spans="1:22">
      <c r="A9" s="4"/>
      <c r="B9" s="4"/>
      <c r="C9" s="4"/>
      <c r="D9" s="4"/>
      <c r="E9" s="4"/>
      <c r="F9" s="4"/>
      <c r="G9" s="4"/>
      <c r="H9" s="4"/>
    </row>
    <row r="10" spans="1:22" ht="45">
      <c r="A10" s="24" t="s">
        <v>21</v>
      </c>
      <c r="B10" s="24" t="s">
        <v>22</v>
      </c>
      <c r="C10" s="24" t="s">
        <v>23</v>
      </c>
      <c r="D10" s="24" t="s">
        <v>24</v>
      </c>
      <c r="E10" s="24" t="s">
        <v>25</v>
      </c>
      <c r="F10" s="24" t="s">
        <v>26</v>
      </c>
      <c r="G10" s="24" t="s">
        <v>27</v>
      </c>
      <c r="H10" s="24" t="s">
        <v>28</v>
      </c>
      <c r="I10" s="24" t="s">
        <v>29</v>
      </c>
      <c r="J10" s="24" t="s">
        <v>30</v>
      </c>
      <c r="K10" s="25" t="s">
        <v>31</v>
      </c>
    </row>
    <row r="11" spans="1:22">
      <c r="A11" s="33">
        <v>52000</v>
      </c>
      <c r="B11" s="33">
        <f>SUM(A11*88.72)</f>
        <v>4613440</v>
      </c>
      <c r="C11" s="33">
        <f>SUM(B11*25%)</f>
        <v>1153360</v>
      </c>
      <c r="D11" s="33">
        <f>SUM(B11*5%)</f>
        <v>230672</v>
      </c>
      <c r="E11" s="33">
        <f>SUM((B11+C11+D11)*100%)</f>
        <v>5997472</v>
      </c>
      <c r="F11" s="33">
        <f>SUM((B11+C11+D11+E11)*15%)</f>
        <v>1799241.5999999999</v>
      </c>
      <c r="G11" s="33">
        <f>SUM(B11*5%)</f>
        <v>230672</v>
      </c>
      <c r="H11" s="33">
        <f>SUM((B11+C11+D11+E11)*26.67%)</f>
        <v>3199051.5647999998</v>
      </c>
      <c r="I11" s="33">
        <f>SUM(H11+B11+C11+D11+E11)</f>
        <v>15193995.5648</v>
      </c>
      <c r="J11" s="33">
        <f>SUM(I11*4%)</f>
        <v>607759.82259200001</v>
      </c>
      <c r="K11" s="33">
        <f>SUM(C11+D11+E11+F11+G11+J11)</f>
        <v>10019177.422591999</v>
      </c>
      <c r="O11" s="35"/>
    </row>
    <row r="12" spans="1:22" ht="15.75">
      <c r="A12" s="26"/>
      <c r="B12" s="27"/>
      <c r="C12" s="28"/>
      <c r="D12" s="29"/>
      <c r="E12" s="30"/>
      <c r="F12" s="27"/>
      <c r="G12" s="27"/>
      <c r="H12" s="31"/>
      <c r="I12" s="32"/>
      <c r="K12">
        <f>K11/B11*100</f>
        <v>217.17367999999996</v>
      </c>
    </row>
    <row r="13" spans="1:22" ht="15.75">
      <c r="A13" s="26"/>
      <c r="B13" s="27"/>
      <c r="C13" s="28"/>
      <c r="D13" s="29"/>
      <c r="E13" s="30"/>
      <c r="F13" s="27"/>
      <c r="G13" s="27"/>
      <c r="H13" s="31"/>
      <c r="I13" s="32"/>
    </row>
    <row r="14" spans="1:22" ht="15.75">
      <c r="A14" s="26"/>
      <c r="B14" s="27"/>
      <c r="C14" s="28"/>
      <c r="D14" s="29"/>
      <c r="E14" s="30"/>
      <c r="F14" s="27"/>
      <c r="G14" s="27"/>
      <c r="H14" s="31"/>
      <c r="I14" s="32"/>
      <c r="J14" s="6">
        <f>(H3/(100-10))</f>
        <v>166836.48471893332</v>
      </c>
    </row>
    <row r="15" spans="1:22">
      <c r="A15" s="32"/>
      <c r="B15" s="32"/>
      <c r="C15" s="32"/>
      <c r="D15" s="32"/>
      <c r="E15" s="32"/>
      <c r="F15" s="32"/>
      <c r="G15" s="32"/>
      <c r="H15" s="32"/>
      <c r="I15" s="32"/>
    </row>
    <row r="16" spans="1:22">
      <c r="A16" s="32"/>
      <c r="B16" s="32"/>
      <c r="C16" s="32"/>
      <c r="D16" s="32"/>
      <c r="E16" s="32"/>
      <c r="F16" s="32"/>
      <c r="G16" s="32"/>
      <c r="H16" s="32"/>
      <c r="I16" s="32"/>
    </row>
    <row r="18" spans="6:15">
      <c r="F18" s="34"/>
      <c r="M18" s="36"/>
      <c r="N18" s="36"/>
      <c r="O18" s="36"/>
    </row>
  </sheetData>
  <pageMargins left="0.75" right="0.75" top="1" bottom="1" header="0.5" footer="0.5"/>
  <pageSetup paperSize="9" scale="5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3:B4"/>
  <sheetViews>
    <sheetView workbookViewId="0">
      <selection activeCell="B5" sqref="B5"/>
    </sheetView>
  </sheetViews>
  <sheetFormatPr defaultColWidth="11.42578125" defaultRowHeight="12.75"/>
  <cols>
    <col min="1" max="1" width="18.28515625" bestFit="1" customWidth="1"/>
    <col min="2" max="2" width="12.42578125" customWidth="1"/>
  </cols>
  <sheetData>
    <row r="3" spans="1:2" ht="13.5" thickBot="1"/>
    <row r="4" spans="1:2" s="1" customFormat="1" ht="35.25" customHeight="1" thickBot="1">
      <c r="A4" s="2" t="s">
        <v>10</v>
      </c>
      <c r="B4" s="3">
        <v>88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Landed Cost</vt:lpstr>
      <vt:lpstr>Rates</vt:lpstr>
      <vt:lpstr>EURTAKA</vt:lpstr>
    </vt:vector>
  </TitlesOfParts>
  <Company>Performance Edition Dec 2009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2016-01-18T11:13:39Z</cp:lastPrinted>
  <dcterms:created xsi:type="dcterms:W3CDTF">2011-08-03T05:43:53Z</dcterms:created>
  <dcterms:modified xsi:type="dcterms:W3CDTF">2017-05-18T12:16:24Z</dcterms:modified>
</cp:coreProperties>
</file>