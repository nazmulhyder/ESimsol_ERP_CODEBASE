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CALCULATOR\"/>
    </mc:Choice>
  </mc:AlternateContent>
  <bookViews>
    <workbookView xWindow="0" yWindow="465" windowWidth="25605" windowHeight="15465" tabRatio="500"/>
  </bookViews>
  <sheets>
    <sheet name="Sheet1" sheetId="1" r:id="rId1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" i="1" l="1"/>
  <c r="E4" i="1"/>
  <c r="G4" i="1"/>
  <c r="H4" i="1"/>
  <c r="J4" i="1"/>
  <c r="M4" i="1"/>
  <c r="O4" i="1"/>
  <c r="D2" i="1"/>
  <c r="E2" i="1"/>
  <c r="G2" i="1"/>
  <c r="H2" i="1"/>
  <c r="J2" i="1"/>
  <c r="M2" i="1"/>
  <c r="O2" i="1"/>
  <c r="K4" i="1"/>
  <c r="K2" i="1"/>
</calcChain>
</file>

<file path=xl/sharedStrings.xml><?xml version="1.0" encoding="utf-8"?>
<sst xmlns="http://schemas.openxmlformats.org/spreadsheetml/2006/main" count="20" uniqueCount="18">
  <si>
    <t>Engine Capacity</t>
  </si>
  <si>
    <t>Price of Vehicle C.I.F Dhaka (EUR)</t>
  </si>
  <si>
    <t>Duty Percentage (%)</t>
  </si>
  <si>
    <t>Customs Duty </t>
  </si>
  <si>
    <t>Customs Clearing Charges &amp;  Insurance-Local (6%)</t>
  </si>
  <si>
    <t>Freight</t>
  </si>
  <si>
    <t>Landed Cost</t>
  </si>
  <si>
    <t>Landed Cost in BDTK</t>
  </si>
  <si>
    <t>Clearing Charges/Local Transportation</t>
  </si>
  <si>
    <t>Dealer Price in BDTK</t>
  </si>
  <si>
    <t>Dealer Price in EURO</t>
  </si>
  <si>
    <t>Margin %</t>
  </si>
  <si>
    <t>Ex Showroom in BDTK</t>
  </si>
  <si>
    <t>Ex Showroom in EURO</t>
  </si>
  <si>
    <t>Margin (in BDTK)</t>
  </si>
  <si>
    <t> € -   </t>
  </si>
  <si>
    <t>Upto 1500cc</t>
  </si>
  <si>
    <t>Upto 2000CC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</si>
</sst>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1"/>
      <color rgb="FF0000D4"/>
      <name val="Trebuchet MS"/>
    </font>
    <font>
      <sz val="11"/>
      <color rgb="FF000000"/>
      <name val="Trebuchet MS"/>
    </font>
    <font>
      <sz val="10"/>
      <color rgb="FF000000"/>
      <name val="Arial"/>
    </font>
    <font>
      <b/>
      <sz val="12"/>
      <color rgb="FFDD0806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10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workbookViewId="0">
      <selection activeCell="B5" sqref="B5"/>
    </sheetView>
  </sheetViews>
  <sheetFormatPr defaultColWidth="11" defaultRowHeight="15.75" x14ac:dyDescent="0.25"/>
  <cols>
    <col min="1" max="1" width="17.125" customWidth="1"/>
    <col min="2" max="2" width="14.625" customWidth="1"/>
    <col min="3" max="3" width="9.5" customWidth="1"/>
    <col min="4" max="4" width="13.375" customWidth="1"/>
    <col min="6" max="6" width="7.875" customWidth="1"/>
    <col min="7" max="8" width="11.875" customWidth="1"/>
    <col min="9" max="9" width="11.625" customWidth="1"/>
    <col min="10" max="10" width="11.5" customWidth="1"/>
    <col min="13" max="13" width="14.75" customWidth="1"/>
  </cols>
  <sheetData>
    <row r="1" spans="1:16" ht="82.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11</v>
      </c>
    </row>
    <row r="2" spans="1:16" ht="16.5" x14ac:dyDescent="0.3">
      <c r="A2" s="1" t="s">
        <v>16</v>
      </c>
      <c r="B2" s="1">
        <v>1000</v>
      </c>
      <c r="C2" s="2">
        <v>1.31</v>
      </c>
      <c r="D2" s="1">
        <f>B2*C2</f>
        <v>1310</v>
      </c>
      <c r="E2" s="1">
        <f>D2*6%</f>
        <v>78.599999999999994</v>
      </c>
      <c r="F2" s="1" t="s">
        <v>15</v>
      </c>
      <c r="G2" s="1">
        <f>B2+D2+E2</f>
        <v>2388.6</v>
      </c>
      <c r="H2" s="3">
        <f>G2*88.72</f>
        <v>211916.59199999998</v>
      </c>
      <c r="I2" s="3"/>
      <c r="J2" s="3">
        <f>H2</f>
        <v>211916.59199999998</v>
      </c>
      <c r="K2" s="1">
        <f>J2/88.72</f>
        <v>2388.6</v>
      </c>
      <c r="L2" s="4">
        <v>0.15</v>
      </c>
      <c r="M2" s="5">
        <f>J2/0.85</f>
        <v>249313.63764705881</v>
      </c>
      <c r="N2" s="1"/>
      <c r="O2" s="6">
        <f>M2-J2</f>
        <v>37397.04564705884</v>
      </c>
      <c r="P2" s="4">
        <v>0.15</v>
      </c>
    </row>
    <row r="4" spans="1:16" ht="16.5" x14ac:dyDescent="0.3">
      <c r="A4" s="1" t="s">
        <v>17</v>
      </c>
      <c r="B4" s="1">
        <v>900</v>
      </c>
      <c r="C4" s="2">
        <v>2.1717</v>
      </c>
      <c r="D4" s="1">
        <f>B4*C4</f>
        <v>1954.53</v>
      </c>
      <c r="E4" s="1">
        <f>D4*6%</f>
        <v>117.2718</v>
      </c>
      <c r="F4" s="1" t="s">
        <v>15</v>
      </c>
      <c r="G4" s="1">
        <f>B4+D4+E4</f>
        <v>2971.8017999999997</v>
      </c>
      <c r="H4" s="3">
        <f>G4*88.72</f>
        <v>263658.25569599995</v>
      </c>
      <c r="I4" s="3"/>
      <c r="J4" s="3">
        <f>H4</f>
        <v>263658.25569599995</v>
      </c>
      <c r="K4" s="1">
        <f>J4/88.72</f>
        <v>2971.8017999999993</v>
      </c>
      <c r="L4" s="4">
        <v>0.15</v>
      </c>
      <c r="M4" s="5">
        <f>J4/0.85</f>
        <v>310186.18317176466</v>
      </c>
      <c r="N4" s="1"/>
      <c r="O4" s="6">
        <f>M4-J4</f>
        <v>46527.927475764707</v>
      </c>
      <c r="P4" s="4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Acer</cp:lastModifiedBy>
  <dcterms:created xsi:type="dcterms:W3CDTF">2016-03-13T16:38:51Z</dcterms:created>
  <dcterms:modified xsi:type="dcterms:W3CDTF">2017-01-07T10:23:01Z</dcterms:modified>
</cp:coreProperties>
</file>