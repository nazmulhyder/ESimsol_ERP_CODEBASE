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5805" tabRatio="597"/>
  </bookViews>
  <sheets>
    <sheet name="Clothing" sheetId="5" r:id="rId1"/>
    <sheet name="Apparels" sheetId="33" r:id="rId2"/>
    <sheet name="Design" sheetId="1" r:id="rId3"/>
    <sheet name="Holdings" sheetId="6" r:id="rId4"/>
    <sheet name="AKCL 1" sheetId="61" r:id="rId5"/>
    <sheet name="AKCL 2" sheetId="62" r:id="rId6"/>
    <sheet name="AKCL- 3" sheetId="80" r:id="rId7"/>
    <sheet name="October-17" sheetId="91" r:id="rId8"/>
    <sheet name="September-17" sheetId="90" r:id="rId9"/>
    <sheet name="August-17 " sheetId="89" r:id="rId10"/>
    <sheet name="July-17 " sheetId="88" r:id="rId11"/>
    <sheet name="June-17  " sheetId="87" r:id="rId12"/>
    <sheet name="May-17 " sheetId="86" r:id="rId13"/>
    <sheet name="April-17 " sheetId="85" r:id="rId14"/>
    <sheet name="March-17" sheetId="84" r:id="rId15"/>
    <sheet name="February-17" sheetId="83" r:id="rId16"/>
    <sheet name="January-17" sheetId="82" r:id="rId17"/>
    <sheet name="December-16" sheetId="81" r:id="rId18"/>
    <sheet name="November-16" sheetId="79" r:id="rId19"/>
    <sheet name="AKCL 3" sheetId="71" state="hidden" r:id="rId20"/>
    <sheet name="October-16" sheetId="78" r:id="rId21"/>
    <sheet name="September-16" sheetId="77" r:id="rId22"/>
    <sheet name="August-16 " sheetId="76" r:id="rId23"/>
    <sheet name="July16" sheetId="75" r:id="rId24"/>
    <sheet name="JUNE-16" sheetId="74" r:id="rId25"/>
    <sheet name="May-16" sheetId="73" r:id="rId26"/>
    <sheet name="April-16" sheetId="72" r:id="rId27"/>
    <sheet name="March-16" sheetId="70" r:id="rId28"/>
    <sheet name="February-16 " sheetId="69" r:id="rId29"/>
    <sheet name="January-16" sheetId="68" r:id="rId30"/>
    <sheet name="December " sheetId="67" r:id="rId31"/>
    <sheet name="November" sheetId="65" r:id="rId32"/>
    <sheet name="Kiabi &amp; Okaidi (December)  (2)" sheetId="48" r:id="rId33"/>
    <sheet name="Kiabi &amp; Okaidi (December)   (3" sheetId="52" state="hidden" r:id="rId34"/>
    <sheet name="Kiabi &amp; Okaidi Dyeing Unit" sheetId="36" state="hidden" r:id="rId35"/>
    <sheet name="November (2)" sheetId="66" state="hidden" r:id="rId36"/>
    <sheet name="October" sheetId="63" r:id="rId37"/>
    <sheet name="September" sheetId="60" r:id="rId38"/>
    <sheet name="August" sheetId="57" r:id="rId39"/>
    <sheet name="July" sheetId="55" r:id="rId40"/>
    <sheet name="June" sheetId="17" r:id="rId41"/>
    <sheet name="May" sheetId="56" r:id="rId42"/>
    <sheet name="Sheet1" sheetId="64" r:id="rId43"/>
  </sheets>
  <definedNames>
    <definedName name="_xlnm._FilterDatabase" localSheetId="0" hidden="1">Clothing!#REF!</definedName>
    <definedName name="_xlnm._FilterDatabase" localSheetId="3" hidden="1">Holdings!#REF!</definedName>
    <definedName name="_xlnm.Print_Area" localSheetId="4">'AKCL 1'!$A$1:$H$106</definedName>
    <definedName name="_xlnm.Print_Area" localSheetId="5">'AKCL 2'!$A$1:$L$141</definedName>
    <definedName name="_xlnm.Print_Area" localSheetId="19">'AKCL 3'!$A$1:$G$141</definedName>
    <definedName name="_xlnm.Print_Area" localSheetId="6">'AKCL- 3'!$A$1:$H$141</definedName>
    <definedName name="_xlnm.Print_Area" localSheetId="1">Apparels!$A$1:$F$106</definedName>
    <definedName name="_xlnm.Print_Area" localSheetId="13">'April-17 '!$A$1:$I$73</definedName>
    <definedName name="_xlnm.Print_Area" localSheetId="9">'August-17 '!$A$1:$I$41</definedName>
    <definedName name="_xlnm.Print_Area" localSheetId="0">Clothing!$A$1:$F$106</definedName>
    <definedName name="_xlnm.Print_Area" localSheetId="17">'December-16'!$A$1:$I$63</definedName>
    <definedName name="_xlnm.Print_Area" localSheetId="2">Design!$A$1:$F$106</definedName>
    <definedName name="_xlnm.Print_Area" localSheetId="15">'February-17'!$A$1:$I$70</definedName>
    <definedName name="_xlnm.Print_Area" localSheetId="3">Holdings!$A$1:$F$165</definedName>
    <definedName name="_xlnm.Print_Area" localSheetId="16">'January-17'!$A$1:$I$40</definedName>
    <definedName name="_xlnm.Print_Area" localSheetId="10">'July-17 '!$A$1:$I$43</definedName>
    <definedName name="_xlnm.Print_Area" localSheetId="40">June!$A$1:$F$28</definedName>
    <definedName name="_xlnm.Print_Area" localSheetId="11">'June-17  '!$A$1:$I$43</definedName>
    <definedName name="_xlnm.Print_Area" localSheetId="33">'Kiabi &amp; Okaidi (December)   (3'!$A$1:$M$54</definedName>
    <definedName name="_xlnm.Print_Area" localSheetId="32">'Kiabi &amp; Okaidi (December)  (2)'!$A$1:$M$34</definedName>
    <definedName name="_xlnm.Print_Area" localSheetId="34">'Kiabi &amp; Okaidi Dyeing Unit'!$A$1:$P$51</definedName>
    <definedName name="_xlnm.Print_Area" localSheetId="14">'March-17'!$A$1:$I$57</definedName>
    <definedName name="_xlnm.Print_Area" localSheetId="12">'May-17 '!$A$1:$I$63</definedName>
    <definedName name="_xlnm.Print_Area" localSheetId="18">'November-16'!$A$1:$I$57</definedName>
    <definedName name="_xlnm.Print_Area" localSheetId="20">'October-16'!$A$1:$I$50</definedName>
    <definedName name="_xlnm.Print_Area" localSheetId="7">'October-17'!$A$1:$I$25</definedName>
    <definedName name="_xlnm.Print_Area" localSheetId="37">September!$A$1:$I$32</definedName>
    <definedName name="_xlnm.Print_Area" localSheetId="8">'September-17'!$A$1:$I$47</definedName>
  </definedNames>
  <calcPr calcId="144525" refMode="R1C1"/>
  <fileRecoveryPr autoRecover="0"/>
</workbook>
</file>

<file path=xl/calcChain.xml><?xml version="1.0" encoding="utf-8"?>
<calcChain xmlns="http://schemas.openxmlformats.org/spreadsheetml/2006/main">
  <c r="I11" i="91" l="1"/>
  <c r="B36" i="91"/>
  <c r="B28" i="91"/>
  <c r="B27" i="91"/>
  <c r="B18" i="91" l="1"/>
  <c r="D11" i="91"/>
  <c r="C11" i="91"/>
  <c r="B11" i="91"/>
  <c r="E10" i="91"/>
  <c r="E9" i="91"/>
  <c r="E8" i="91"/>
  <c r="E7" i="91"/>
  <c r="E6" i="91"/>
  <c r="E5" i="91"/>
  <c r="E4" i="91"/>
  <c r="E11" i="91" l="1"/>
  <c r="F11" i="91"/>
  <c r="I11" i="90"/>
  <c r="B32" i="90"/>
  <c r="B31" i="90"/>
  <c r="B30" i="90"/>
  <c r="B29" i="90"/>
  <c r="B44" i="90"/>
  <c r="E9" i="90" l="1"/>
  <c r="E10" i="90"/>
  <c r="E7" i="90"/>
  <c r="B11" i="90"/>
  <c r="B18" i="90"/>
  <c r="D11" i="90"/>
  <c r="C11" i="90"/>
  <c r="E8" i="90"/>
  <c r="E6" i="90"/>
  <c r="E5" i="90"/>
  <c r="E4" i="90"/>
  <c r="E11" i="90" l="1"/>
  <c r="F11" i="90"/>
  <c r="I11" i="89"/>
  <c r="B19" i="89"/>
  <c r="I11" i="88" l="1"/>
  <c r="D11" i="89" l="1"/>
  <c r="C11" i="89"/>
  <c r="B11" i="89"/>
  <c r="E10" i="89"/>
  <c r="E9" i="89"/>
  <c r="E8" i="89"/>
  <c r="E7" i="89"/>
  <c r="E6" i="89"/>
  <c r="E5" i="89"/>
  <c r="E4" i="89"/>
  <c r="E11" i="89" l="1"/>
  <c r="F11" i="89"/>
  <c r="B21" i="87"/>
  <c r="I11" i="87" l="1"/>
  <c r="G27" i="87"/>
  <c r="G21" i="87" l="1"/>
  <c r="D11" i="88" l="1"/>
  <c r="C11" i="88"/>
  <c r="B11" i="88"/>
  <c r="E10" i="88"/>
  <c r="E9" i="88"/>
  <c r="E8" i="88"/>
  <c r="E7" i="88"/>
  <c r="E6" i="88"/>
  <c r="E5" i="88"/>
  <c r="E4" i="88"/>
  <c r="F11" i="88" l="1"/>
  <c r="E11" i="88"/>
  <c r="G24" i="86" l="1"/>
  <c r="B43" i="87" l="1"/>
  <c r="D11" i="87" l="1"/>
  <c r="C11" i="87"/>
  <c r="B11" i="87"/>
  <c r="E10" i="87"/>
  <c r="E9" i="87"/>
  <c r="E8" i="87"/>
  <c r="E7" i="87"/>
  <c r="E6" i="87"/>
  <c r="E5" i="87"/>
  <c r="E4" i="87"/>
  <c r="E11" i="87" l="1"/>
  <c r="F11" i="87"/>
  <c r="I11" i="86" l="1"/>
  <c r="B62" i="86"/>
  <c r="B24" i="86" l="1"/>
  <c r="D11" i="86" l="1"/>
  <c r="C11" i="86"/>
  <c r="B11" i="86"/>
  <c r="E10" i="86"/>
  <c r="E9" i="86"/>
  <c r="E8" i="86"/>
  <c r="E7" i="86"/>
  <c r="E6" i="86"/>
  <c r="E5" i="86"/>
  <c r="E4" i="86"/>
  <c r="F11" i="86" l="1"/>
  <c r="E11" i="86"/>
  <c r="I11" i="85"/>
  <c r="G18" i="85" l="1"/>
  <c r="B72" i="85" l="1"/>
  <c r="G33" i="85" l="1"/>
  <c r="B22" i="85" l="1"/>
  <c r="D11" i="85"/>
  <c r="C11" i="85"/>
  <c r="B11" i="85"/>
  <c r="E10" i="85"/>
  <c r="E9" i="85"/>
  <c r="E8" i="85"/>
  <c r="E7" i="85"/>
  <c r="E6" i="85"/>
  <c r="E5" i="85"/>
  <c r="E4" i="85"/>
  <c r="F11" i="85" l="1"/>
  <c r="E11" i="85"/>
  <c r="I11" i="84"/>
  <c r="I11" i="83"/>
  <c r="D11" i="84" l="1"/>
  <c r="B67" i="84"/>
  <c r="G21" i="84" l="1"/>
  <c r="B21" i="84" l="1"/>
  <c r="C11" i="84"/>
  <c r="B11" i="84"/>
  <c r="E10" i="84"/>
  <c r="E9" i="84"/>
  <c r="E8" i="84"/>
  <c r="E7" i="84"/>
  <c r="E6" i="84"/>
  <c r="E5" i="84"/>
  <c r="E4" i="84"/>
  <c r="F11" i="84" l="1"/>
  <c r="E11" i="84"/>
  <c r="B70" i="83" l="1"/>
  <c r="B21" i="83" l="1"/>
  <c r="D11" i="83"/>
  <c r="C11" i="83"/>
  <c r="B11" i="83"/>
  <c r="E10" i="83"/>
  <c r="E9" i="83"/>
  <c r="E8" i="83"/>
  <c r="E7" i="83"/>
  <c r="E6" i="83"/>
  <c r="E5" i="83"/>
  <c r="E4" i="83"/>
  <c r="E11" i="83" l="1"/>
  <c r="F11" i="83"/>
  <c r="I11" i="82"/>
  <c r="B39" i="82"/>
  <c r="B11" i="82" l="1"/>
  <c r="B20" i="82" l="1"/>
  <c r="D11" i="82"/>
  <c r="C11" i="82"/>
  <c r="E10" i="82"/>
  <c r="E9" i="82"/>
  <c r="E8" i="82"/>
  <c r="E7" i="82"/>
  <c r="E6" i="82"/>
  <c r="E5" i="82"/>
  <c r="E4" i="82"/>
  <c r="F11" i="82" l="1"/>
  <c r="E11" i="82"/>
  <c r="I11" i="81"/>
  <c r="B61" i="81" l="1"/>
  <c r="B55" i="81"/>
  <c r="B53" i="81"/>
  <c r="B50" i="81"/>
  <c r="B49" i="81"/>
  <c r="B48" i="81"/>
  <c r="B47" i="81"/>
  <c r="B62" i="81" l="1"/>
  <c r="B18" i="81"/>
  <c r="D11" i="81"/>
  <c r="C11" i="81"/>
  <c r="B11" i="81"/>
  <c r="E10" i="81"/>
  <c r="E9" i="81"/>
  <c r="E8" i="81"/>
  <c r="E7" i="81"/>
  <c r="E6" i="81"/>
  <c r="E5" i="81"/>
  <c r="E4" i="81"/>
  <c r="F11" i="81" l="1"/>
  <c r="E11" i="81"/>
  <c r="G32" i="79"/>
  <c r="I11" i="79"/>
  <c r="B45" i="79"/>
  <c r="B20" i="79" l="1"/>
  <c r="D11" i="79" l="1"/>
  <c r="C11" i="79"/>
  <c r="B11" i="79"/>
  <c r="E10" i="79"/>
  <c r="E9" i="79"/>
  <c r="E8" i="79"/>
  <c r="E7" i="79"/>
  <c r="E6" i="79"/>
  <c r="E5" i="79"/>
  <c r="E4" i="79"/>
  <c r="E11" i="79" l="1"/>
  <c r="G20" i="78"/>
  <c r="B44" i="77" l="1"/>
  <c r="I11" i="78" l="1"/>
  <c r="B40" i="78"/>
  <c r="E4" i="78"/>
  <c r="B11" i="78"/>
  <c r="B49" i="78"/>
  <c r="B20" i="78" l="1"/>
  <c r="D11" i="78"/>
  <c r="C11" i="78"/>
  <c r="E10" i="78"/>
  <c r="E9" i="78"/>
  <c r="E8" i="78"/>
  <c r="E7" i="78"/>
  <c r="E6" i="78"/>
  <c r="E5" i="78"/>
  <c r="E11" i="78" l="1"/>
  <c r="I11" i="77" l="1"/>
  <c r="B51" i="77" l="1"/>
  <c r="E7" i="76" l="1"/>
  <c r="E5" i="76"/>
  <c r="E6" i="76"/>
  <c r="B21" i="77" l="1"/>
  <c r="H18" i="77"/>
  <c r="D11" i="77"/>
  <c r="C11" i="77"/>
  <c r="B11" i="77"/>
  <c r="E10" i="77"/>
  <c r="E9" i="77"/>
  <c r="E8" i="77"/>
  <c r="E7" i="77"/>
  <c r="E6" i="77"/>
  <c r="E5" i="77"/>
  <c r="E4" i="77"/>
  <c r="E11" i="77" l="1"/>
  <c r="I11" i="76"/>
  <c r="B21" i="76"/>
  <c r="B27" i="76" l="1"/>
  <c r="B26" i="75"/>
  <c r="B37" i="75" l="1"/>
  <c r="I12" i="75" l="1"/>
  <c r="H20" i="76" l="1"/>
  <c r="D11" i="76"/>
  <c r="C11" i="76"/>
  <c r="B11" i="76"/>
  <c r="E10" i="76"/>
  <c r="E9" i="76"/>
  <c r="E8" i="76"/>
  <c r="E4" i="76"/>
  <c r="E11" i="76" l="1"/>
  <c r="H26" i="75" l="1"/>
  <c r="I12" i="74" l="1"/>
  <c r="D12" i="75"/>
  <c r="C12" i="75"/>
  <c r="B12" i="75"/>
  <c r="E11" i="75"/>
  <c r="E10" i="75"/>
  <c r="E9" i="75"/>
  <c r="E8" i="75"/>
  <c r="E6" i="75"/>
  <c r="E5" i="75"/>
  <c r="E4" i="75"/>
  <c r="E12" i="75" l="1"/>
  <c r="E9" i="73" l="1"/>
  <c r="I12" i="73" l="1"/>
  <c r="B40" i="74" l="1"/>
  <c r="D12" i="74"/>
  <c r="C12" i="74"/>
  <c r="B12" i="74"/>
  <c r="E11" i="74"/>
  <c r="E10" i="74"/>
  <c r="E9" i="74"/>
  <c r="E8" i="74"/>
  <c r="E7" i="74"/>
  <c r="E6" i="74"/>
  <c r="E5" i="74"/>
  <c r="E4" i="74"/>
  <c r="E12" i="74" l="1"/>
  <c r="I12" i="72"/>
  <c r="B32" i="73" l="1"/>
  <c r="B33" i="72" l="1"/>
  <c r="D12" i="73" l="1"/>
  <c r="C12" i="73"/>
  <c r="B12" i="73"/>
  <c r="E11" i="73"/>
  <c r="E10" i="73"/>
  <c r="E8" i="73"/>
  <c r="E7" i="73"/>
  <c r="E6" i="73"/>
  <c r="E5" i="73"/>
  <c r="E4" i="73"/>
  <c r="E12" i="73" l="1"/>
  <c r="E5" i="72" l="1"/>
  <c r="E6" i="72"/>
  <c r="E7" i="72"/>
  <c r="E8" i="72"/>
  <c r="E9" i="72"/>
  <c r="E10" i="72"/>
  <c r="E11" i="72"/>
  <c r="E4" i="72"/>
  <c r="E12" i="72" l="1"/>
  <c r="D12" i="72"/>
  <c r="C12" i="72"/>
  <c r="B12" i="72"/>
  <c r="B35" i="70" l="1"/>
  <c r="I12" i="70"/>
  <c r="I12" i="69" l="1"/>
  <c r="D12" i="70" l="1"/>
  <c r="C12" i="70"/>
  <c r="B12" i="70"/>
  <c r="E4" i="70"/>
  <c r="E12" i="70" s="1"/>
  <c r="C12" i="69" l="1"/>
  <c r="B12" i="69"/>
  <c r="D12" i="69" l="1"/>
  <c r="B53" i="69" l="1"/>
  <c r="E4" i="69" l="1"/>
  <c r="E12" i="69" s="1"/>
  <c r="I11" i="68"/>
  <c r="I11" i="67"/>
  <c r="B51" i="67"/>
  <c r="B31" i="68" l="1"/>
  <c r="B23" i="68" l="1"/>
  <c r="B40" i="67" l="1"/>
  <c r="E4" i="68" l="1"/>
  <c r="E11" i="68" s="1"/>
  <c r="D11" i="68"/>
  <c r="C11" i="68"/>
  <c r="B11" i="68"/>
  <c r="B11" i="67" l="1"/>
  <c r="E4" i="67"/>
  <c r="E11" i="67" s="1"/>
  <c r="D11" i="67"/>
  <c r="C11" i="67"/>
  <c r="I11" i="65" l="1"/>
  <c r="H38" i="63"/>
  <c r="B53" i="63"/>
  <c r="B38" i="63"/>
  <c r="I38" i="63"/>
  <c r="G38" i="63"/>
  <c r="I11" i="63"/>
  <c r="B26" i="65" l="1"/>
  <c r="E4" i="65" s="1"/>
  <c r="E11" i="65" s="1"/>
  <c r="D11" i="65"/>
  <c r="B11" i="65"/>
  <c r="C11" i="65"/>
  <c r="B14" i="64" l="1"/>
  <c r="E43" i="60" l="1"/>
  <c r="D43" i="60"/>
  <c r="C40" i="60"/>
  <c r="C39" i="60"/>
  <c r="C38" i="60"/>
  <c r="C37" i="60"/>
  <c r="C43" i="60" s="1"/>
  <c r="E36" i="60"/>
  <c r="B36" i="60"/>
  <c r="B43" i="60" s="1"/>
  <c r="I11" i="60" l="1"/>
  <c r="B11" i="60"/>
  <c r="B11" i="63"/>
  <c r="C11" i="63"/>
  <c r="B30" i="60"/>
  <c r="B25" i="63" l="1"/>
  <c r="E4" i="63" s="1"/>
  <c r="E11" i="63" s="1"/>
  <c r="D11" i="63"/>
  <c r="E4" i="60" l="1"/>
  <c r="D11" i="60"/>
  <c r="C9" i="60"/>
  <c r="C8" i="60"/>
  <c r="C7" i="60"/>
  <c r="C6" i="60"/>
  <c r="C5" i="60" l="1"/>
  <c r="C11" i="60" s="1"/>
  <c r="E11" i="60"/>
  <c r="C8" i="57" l="1"/>
  <c r="C7" i="57"/>
  <c r="C6" i="57"/>
  <c r="C5" i="57"/>
  <c r="C4" i="57"/>
  <c r="D11" i="57" l="1"/>
  <c r="B11" i="57"/>
  <c r="C11" i="57"/>
  <c r="B14" i="56"/>
  <c r="C12" i="56"/>
  <c r="C11" i="56"/>
  <c r="C10" i="56"/>
  <c r="D9" i="56"/>
  <c r="C8" i="56"/>
  <c r="D7" i="56"/>
  <c r="D11" i="17"/>
  <c r="B11" i="17"/>
  <c r="C8" i="17"/>
  <c r="C6" i="17"/>
  <c r="C5" i="17"/>
  <c r="C4" i="17"/>
  <c r="D11" i="55"/>
  <c r="B11" i="55"/>
  <c r="C8" i="55"/>
  <c r="C6" i="55"/>
  <c r="C5" i="55"/>
  <c r="C4" i="55"/>
  <c r="D14" i="56" l="1"/>
  <c r="C14" i="56"/>
  <c r="C11" i="17"/>
  <c r="C11" i="55"/>
  <c r="C52" i="52"/>
  <c r="K24" i="52"/>
  <c r="K28" i="52" s="1"/>
  <c r="J24" i="52"/>
  <c r="K14" i="52"/>
  <c r="K27" i="52" s="1"/>
  <c r="J14" i="52"/>
  <c r="L12" i="52"/>
  <c r="L11" i="52"/>
  <c r="L10" i="52"/>
  <c r="L9" i="52"/>
  <c r="L8" i="52"/>
  <c r="L7" i="52"/>
  <c r="L14" i="52" l="1"/>
  <c r="K31" i="52"/>
  <c r="C34" i="48" l="1"/>
  <c r="C22" i="48"/>
  <c r="C45" i="36" l="1"/>
  <c r="C43" i="36"/>
  <c r="C41" i="36"/>
  <c r="C48" i="36" l="1"/>
  <c r="C50" i="36" s="1"/>
  <c r="K11" i="36"/>
  <c r="K15" i="36"/>
  <c r="K13" i="36"/>
  <c r="K18" i="36" l="1"/>
  <c r="K20" i="36"/>
  <c r="C26" i="36"/>
  <c r="C22" i="36"/>
  <c r="C8" i="36"/>
  <c r="C10" i="36" s="1"/>
  <c r="C28" i="36" l="1"/>
  <c r="H10" i="33" l="1"/>
</calcChain>
</file>

<file path=xl/sharedStrings.xml><?xml version="1.0" encoding="utf-8"?>
<sst xmlns="http://schemas.openxmlformats.org/spreadsheetml/2006/main" count="6791" uniqueCount="1828">
  <si>
    <t>Line A</t>
  </si>
  <si>
    <t>Line C</t>
  </si>
  <si>
    <t>Line D</t>
  </si>
  <si>
    <t>Line E</t>
  </si>
  <si>
    <t>Line B</t>
  </si>
  <si>
    <t>APS GROUP</t>
  </si>
  <si>
    <t>LIST OF OUT OF PLAN</t>
  </si>
  <si>
    <t>Buyer</t>
  </si>
  <si>
    <t>Style</t>
  </si>
  <si>
    <t>Order qty</t>
  </si>
  <si>
    <t>Delivery</t>
  </si>
  <si>
    <t>Kiabi</t>
  </si>
  <si>
    <t>Total</t>
  </si>
  <si>
    <t>Per /Hour: 120</t>
  </si>
  <si>
    <t>Per /Hour: 100</t>
  </si>
  <si>
    <t>Per /Hour: 150</t>
  </si>
  <si>
    <t>ITEM: T-shirt</t>
  </si>
  <si>
    <t>Lindex</t>
  </si>
  <si>
    <t>Buyer - Kiabi</t>
  </si>
  <si>
    <t>No of mc. 18</t>
  </si>
  <si>
    <t>No of mc. 22</t>
  </si>
  <si>
    <t>Item</t>
  </si>
  <si>
    <t>Sub Factory</t>
  </si>
  <si>
    <t>Remarks</t>
  </si>
  <si>
    <t>Okaidi</t>
  </si>
  <si>
    <t>Line F</t>
  </si>
  <si>
    <t>JDLW12PBASI</t>
  </si>
  <si>
    <t>JDLW12PCBAS</t>
  </si>
  <si>
    <t>Ladies wear</t>
  </si>
  <si>
    <t>Monoprix</t>
  </si>
  <si>
    <t>Ladies Trouser</t>
  </si>
  <si>
    <t>Day output: 1350</t>
  </si>
  <si>
    <t>Out of plan</t>
  </si>
  <si>
    <t>Line-A</t>
  </si>
  <si>
    <t>Line-B</t>
  </si>
  <si>
    <t>Line-C</t>
  </si>
  <si>
    <t>Line-D</t>
  </si>
  <si>
    <t>Line-E</t>
  </si>
  <si>
    <t>Line-F</t>
  </si>
  <si>
    <t>June Prod. Plan</t>
  </si>
  <si>
    <t>July Prod. Plan</t>
  </si>
  <si>
    <t>TIME:8.00-6.00</t>
  </si>
  <si>
    <t>H &amp; M</t>
  </si>
  <si>
    <t>aps replan</t>
  </si>
  <si>
    <t>Buyer: Monoprix</t>
  </si>
  <si>
    <t>MLMS14R1XUC</t>
  </si>
  <si>
    <t>Buyer - Okaidi</t>
  </si>
  <si>
    <t>Order Qty.</t>
  </si>
  <si>
    <t>Plan Qty</t>
  </si>
  <si>
    <t>No of mc. 24</t>
  </si>
  <si>
    <t>No of mc. 25</t>
  </si>
  <si>
    <t>Embelishment - Print</t>
  </si>
  <si>
    <t>TGLS14FLUDN</t>
  </si>
  <si>
    <t>Ladies Tanktop</t>
  </si>
  <si>
    <t>SDBW14HPPGL</t>
  </si>
  <si>
    <t>Babies wear</t>
  </si>
  <si>
    <t>JUSW14BIGTT</t>
  </si>
  <si>
    <t>out of 81000</t>
  </si>
  <si>
    <t>SBBW14HPPG1</t>
  </si>
  <si>
    <t>SBBW14HPPGL</t>
  </si>
  <si>
    <t>DBLS14RDANS</t>
  </si>
  <si>
    <t>NCLW14SWEA2</t>
  </si>
  <si>
    <t>APS APPRL(DU)</t>
  </si>
  <si>
    <t>Inhouse Plan(APS)</t>
  </si>
  <si>
    <t>APS APPRL (DU)</t>
  </si>
  <si>
    <t>Radiance</t>
  </si>
  <si>
    <t xml:space="preserve"> MLMS14R1XUC</t>
  </si>
  <si>
    <t>JDLW14PCBAS</t>
  </si>
  <si>
    <t>FZCW14ZHPOL</t>
  </si>
  <si>
    <t>FZCW14ZHSPC</t>
  </si>
  <si>
    <t xml:space="preserve">Mens </t>
  </si>
  <si>
    <t xml:space="preserve"> MLMS14GCAMP</t>
  </si>
  <si>
    <t xml:space="preserve"> Out of plan</t>
  </si>
  <si>
    <t xml:space="preserve">Buyer: kiabi </t>
  </si>
  <si>
    <t>DU Replan</t>
  </si>
  <si>
    <t>No of mc. 26</t>
  </si>
  <si>
    <t>TGLS14BENIT</t>
  </si>
  <si>
    <t>TALPA</t>
  </si>
  <si>
    <t>Running</t>
  </si>
  <si>
    <t>APRIL</t>
  </si>
  <si>
    <t>out of 20000</t>
  </si>
  <si>
    <t>out of 21000</t>
  </si>
  <si>
    <t>Children wear</t>
  </si>
  <si>
    <t>Grand Total</t>
  </si>
  <si>
    <t>out of 55000</t>
  </si>
  <si>
    <t>out of29000</t>
  </si>
  <si>
    <t>out of 17999</t>
  </si>
  <si>
    <t>SLCW14HDECR</t>
  </si>
  <si>
    <t>out of 40000</t>
  </si>
  <si>
    <t>March</t>
  </si>
  <si>
    <t xml:space="preserve">APS Dyeing Unit </t>
  </si>
  <si>
    <t>Sewing Finish</t>
  </si>
  <si>
    <t>out of 36000</t>
  </si>
  <si>
    <t>Mens</t>
  </si>
  <si>
    <t>TPOLO</t>
  </si>
  <si>
    <t>Ladies Polo</t>
  </si>
  <si>
    <t>AVUW14GCHOI</t>
  </si>
  <si>
    <t xml:space="preserve">                        </t>
  </si>
  <si>
    <t>APS Replan</t>
  </si>
  <si>
    <t>No of mc. 19</t>
  </si>
  <si>
    <t>Line  C</t>
  </si>
  <si>
    <t>EMAZ</t>
  </si>
  <si>
    <t>Embelishment - na.</t>
  </si>
  <si>
    <t>Style : V-ROBERT</t>
  </si>
  <si>
    <t xml:space="preserve"> Delivery dt. 25-11-14</t>
  </si>
  <si>
    <t>Input: 13-12-14</t>
  </si>
  <si>
    <t>Total Plan For Decemberber</t>
  </si>
  <si>
    <t>Month - December 2014 (Out Of Plan)</t>
  </si>
  <si>
    <t>Total Prod. Plan Status for December -2014</t>
  </si>
  <si>
    <t>KSLS15RDANS</t>
  </si>
  <si>
    <t>Out of 20500</t>
  </si>
  <si>
    <t>SBBS15HBTFL</t>
  </si>
  <si>
    <t>SDBW15HPPGL</t>
  </si>
  <si>
    <t>FDLS15PCBAS</t>
  </si>
  <si>
    <t>JUSS15PYJSM</t>
  </si>
  <si>
    <t>ELCS15HCER2</t>
  </si>
  <si>
    <t>SBBS15HBTCR</t>
  </si>
  <si>
    <t>VDCS15PLES2</t>
  </si>
  <si>
    <t>MLMS15JERUC</t>
  </si>
  <si>
    <t>TGLS15RONDN</t>
  </si>
  <si>
    <t>Out of 62500</t>
  </si>
  <si>
    <t>SBBS15HBGSU</t>
  </si>
  <si>
    <t>SBBS15LSMOO</t>
  </si>
  <si>
    <t>Out of 30000</t>
  </si>
  <si>
    <t>SBBS15HGSPO</t>
  </si>
  <si>
    <t>VBLS15PCBAS</t>
  </si>
  <si>
    <t>Tatal</t>
  </si>
  <si>
    <t>December-2014, Ttl Order Flow Summary of PUBAIL(for stitching)</t>
  </si>
  <si>
    <t>December-2014, Ttl Order Flow Summary of  APS GROUP (for stitching)</t>
  </si>
  <si>
    <t>Close output: 21-12-14</t>
  </si>
  <si>
    <t>MLMS15JERRC</t>
  </si>
  <si>
    <t>Out of 32800</t>
  </si>
  <si>
    <t>APS Dec(DU) - 300134 Pcs Plan From Out of Plan</t>
  </si>
  <si>
    <t>APS&amp;DU Replan</t>
  </si>
  <si>
    <t>PBLS15TSSYL</t>
  </si>
  <si>
    <t>Out of 29018</t>
  </si>
  <si>
    <t>Qty: 6676(18676)</t>
  </si>
  <si>
    <t>JUSS15PJCGT</t>
  </si>
  <si>
    <t>TGLS15RONDI</t>
  </si>
  <si>
    <t>AVUS15GPC38</t>
  </si>
  <si>
    <t>AVUS15GCCIN</t>
  </si>
  <si>
    <t>AVUS15GPPIE</t>
  </si>
  <si>
    <t>MLMS15TSPRA</t>
  </si>
  <si>
    <t>FDLS15KNITS</t>
  </si>
  <si>
    <t>A P S   HOLDINGS L T D. LINE WISE PRODUCTION PLAN (This is provisional Plan depends on pp meeting &amp; all logistic support on time)</t>
  </si>
  <si>
    <t>Line  A</t>
  </si>
  <si>
    <t>Buyer: Okaidi</t>
  </si>
  <si>
    <t>ITEM: Trouser</t>
  </si>
  <si>
    <t>Buyer: Lindex</t>
  </si>
  <si>
    <t>No of mc. 20</t>
  </si>
  <si>
    <t>Per /Hour: 200</t>
  </si>
  <si>
    <t>July -2015, Ttl Order Flow Summary of  APS GROUP &amp; AKCL(for stitching)</t>
  </si>
  <si>
    <t>AKCL</t>
  </si>
  <si>
    <t>Go Sports</t>
  </si>
  <si>
    <t>June -2015, Ttl Order Flow Summary of  APS GROUP &amp; AKCL(for stitching)</t>
  </si>
  <si>
    <t>May -2015, Ttl Order Flow Summary of  APS GROUP &amp; AKCL(for stitching)</t>
  </si>
  <si>
    <t>August -2015, Ttl Order Flow Summary of  APS GROUP &amp; AKCL(for stitching)</t>
  </si>
  <si>
    <t>Buyer: H&amp;M</t>
  </si>
  <si>
    <r>
      <rPr>
        <b/>
        <i/>
        <sz val="14"/>
        <rFont val="Arial"/>
        <family val="2"/>
      </rPr>
      <t>A P S   CLOTHING L T D</t>
    </r>
    <r>
      <rPr>
        <b/>
        <i/>
        <sz val="10"/>
        <rFont val="Arial"/>
        <family val="2"/>
      </rPr>
      <t>. LINE WISE PRODUCTION PLAN (This is provisional Plan depends on pp meeting &amp; all logistic support on time)</t>
    </r>
  </si>
  <si>
    <r>
      <rPr>
        <b/>
        <i/>
        <sz val="14"/>
        <rFont val="Arial"/>
        <family val="2"/>
      </rPr>
      <t xml:space="preserve">A P S   D E S I G N W O R K S L T D </t>
    </r>
    <r>
      <rPr>
        <b/>
        <i/>
        <sz val="10"/>
        <rFont val="Arial"/>
        <family val="2"/>
      </rPr>
      <t xml:space="preserve"> . LINE WISE PRODUCTION PLAN (This is provisional Plan depends on pp meeting &amp; all logistic support on time)</t>
    </r>
  </si>
  <si>
    <r>
      <rPr>
        <b/>
        <i/>
        <sz val="14"/>
        <rFont val="Arial"/>
        <family val="2"/>
      </rPr>
      <t xml:space="preserve">A P S   APPARELS  L T D </t>
    </r>
    <r>
      <rPr>
        <b/>
        <i/>
        <sz val="10"/>
        <rFont val="Arial"/>
        <family val="2"/>
      </rPr>
      <t xml:space="preserve"> . LINE WISE PRODUCTION PLAN (This is provisional Plan depends on pp meeting &amp; all logistic support on time)</t>
    </r>
  </si>
  <si>
    <t>TIME: 8.00-6.00</t>
  </si>
  <si>
    <t>Per /Hour: 180</t>
  </si>
  <si>
    <t>Day output: 1080</t>
  </si>
  <si>
    <t>Embelishment - print</t>
  </si>
  <si>
    <t>Buyer: Kiabi</t>
  </si>
  <si>
    <t>SBBS16HCOLF</t>
  </si>
  <si>
    <t>SBBS16HGLIT</t>
  </si>
  <si>
    <t>STYLE</t>
  </si>
  <si>
    <t>QTY</t>
  </si>
  <si>
    <t>REMARKS</t>
  </si>
  <si>
    <t>TOTAL</t>
  </si>
  <si>
    <t>DELIVERY</t>
  </si>
  <si>
    <t>HVCS16ZCTED</t>
  </si>
  <si>
    <t>VDCS16SPZIP</t>
  </si>
  <si>
    <t>VDCS16SPRON</t>
  </si>
  <si>
    <t>VDCS16PPSPO</t>
  </si>
  <si>
    <t>VDCS16SCRON</t>
  </si>
  <si>
    <t>APS KNIT COMPOSITE LTD.</t>
  </si>
  <si>
    <t>Floor-2nd Floor</t>
  </si>
  <si>
    <t xml:space="preserve"> (This is provisional Plan depends on pp meeting &amp; all logistic support on time)</t>
  </si>
  <si>
    <t>Line - 01</t>
  </si>
  <si>
    <t>Line - 03</t>
  </si>
  <si>
    <t>Line - 04</t>
  </si>
  <si>
    <t>Line - 08</t>
  </si>
  <si>
    <t>Line - 02</t>
  </si>
  <si>
    <t>Line - 06</t>
  </si>
  <si>
    <t>Line - 05</t>
  </si>
  <si>
    <t>Line - 07</t>
  </si>
  <si>
    <t>Floor-3rd Floor</t>
  </si>
  <si>
    <t>(This is provisional Plan depends on pp meeting &amp; all logistic support on time)</t>
  </si>
  <si>
    <t>Line - 09</t>
  </si>
  <si>
    <t>Line  - 05</t>
  </si>
  <si>
    <t>Line  - 04</t>
  </si>
  <si>
    <t>Line  - 07</t>
  </si>
  <si>
    <t>Line  - 09</t>
  </si>
  <si>
    <t>Line  - 01</t>
  </si>
  <si>
    <t>Sewing plan of September'2015</t>
  </si>
  <si>
    <t>OUT OF PLAN QTY LIST</t>
  </si>
  <si>
    <t>Factory</t>
  </si>
  <si>
    <t>Total Order Summary of September'2015</t>
  </si>
  <si>
    <t>Sewing plan of October'2015</t>
  </si>
  <si>
    <t>Total Order Summary of October'2015</t>
  </si>
  <si>
    <t>Embelishment - na</t>
  </si>
  <si>
    <t>Style : NCLS16DFLUI</t>
  </si>
  <si>
    <t>Embelishment - NA</t>
  </si>
  <si>
    <t>AVUS16FCEDG</t>
  </si>
  <si>
    <t>AVUS16FCPOI</t>
  </si>
  <si>
    <t>SBBW15HPPF1</t>
  </si>
  <si>
    <t>HVCS16ZCJOG</t>
  </si>
  <si>
    <t>VDCS16EPSPO (Top)</t>
  </si>
  <si>
    <t>out of 25000</t>
  </si>
  <si>
    <t>Production from November</t>
  </si>
  <si>
    <t>Production from October   20276</t>
  </si>
  <si>
    <t>SBBS16HGLI2</t>
  </si>
  <si>
    <t>Aps replan</t>
  </si>
  <si>
    <t>Sewing plan of August'2015</t>
  </si>
  <si>
    <t>Production from september</t>
  </si>
  <si>
    <t>aps-53000, akc-207800</t>
  </si>
  <si>
    <t>TIME: 8.00-8.00</t>
  </si>
  <si>
    <t>ACCS16SPTED</t>
  </si>
  <si>
    <t>VDCS16PCSPO</t>
  </si>
  <si>
    <t>OUt of 48500</t>
  </si>
  <si>
    <t>Line  - 06</t>
  </si>
  <si>
    <t>OUt of 23000</t>
  </si>
  <si>
    <t>Replan AKCL</t>
  </si>
  <si>
    <t>OUt of 18000</t>
  </si>
  <si>
    <t>Emaz</t>
  </si>
  <si>
    <t>Inspection</t>
  </si>
  <si>
    <t>APS</t>
  </si>
  <si>
    <t>Gaastra</t>
  </si>
  <si>
    <t>Sewing plan of November'2015</t>
  </si>
  <si>
    <t>Total Order Summary of November'2015</t>
  </si>
  <si>
    <t>No of mc. 21</t>
  </si>
  <si>
    <t>ITEM: Ladies TEE</t>
  </si>
  <si>
    <t>Out of 35500</t>
  </si>
  <si>
    <t>OUT OF PLAN QTY LIST KIABI</t>
  </si>
  <si>
    <t>OUT OF PLAN QTY LIST 0KAIDI</t>
  </si>
  <si>
    <t>VBLW13MACAL</t>
  </si>
  <si>
    <t>SDBS16HGTUR</t>
  </si>
  <si>
    <t>SDBS16HBESC</t>
  </si>
  <si>
    <t>SBBS16LBGPR</t>
  </si>
  <si>
    <t>Out of 28000</t>
  </si>
  <si>
    <t>Out of 73500</t>
  </si>
  <si>
    <t>Day output: 1320</t>
  </si>
  <si>
    <t>Replan Aps btm</t>
  </si>
  <si>
    <t>Line - 10</t>
  </si>
  <si>
    <t>SBBW15HPPG1</t>
  </si>
  <si>
    <t>FDLW15GSPOR</t>
  </si>
  <si>
    <t>51-JACKOB</t>
  </si>
  <si>
    <t>OUT OF PLAN QTY LIST MONOPRIX</t>
  </si>
  <si>
    <t>OUT OF PLAN QTY LIST LINDEX</t>
  </si>
  <si>
    <t>657-001</t>
  </si>
  <si>
    <t>Qty</t>
  </si>
  <si>
    <t>9000 set</t>
  </si>
  <si>
    <t>13302 set</t>
  </si>
  <si>
    <t>10000 set</t>
  </si>
  <si>
    <t>BUYER-OKAIDI</t>
  </si>
  <si>
    <t>Line - 11</t>
  </si>
  <si>
    <t>Out of 17000</t>
  </si>
  <si>
    <t>GROUPE</t>
  </si>
  <si>
    <t>Line - 11+SB</t>
  </si>
  <si>
    <t>AVUS16FPCD2</t>
  </si>
  <si>
    <t>ELCS16HESPP</t>
  </si>
  <si>
    <t>SDBS16HGBA3</t>
  </si>
  <si>
    <t>Out of 63000</t>
  </si>
  <si>
    <t>SDBS16HFBA1</t>
  </si>
  <si>
    <t>AVUS16FCCFL</t>
  </si>
  <si>
    <t>AVUS16GPCFA</t>
  </si>
  <si>
    <t>TMBS16NLGA3</t>
  </si>
  <si>
    <t>ECLS16PYJAM</t>
  </si>
  <si>
    <t>CDLS16PBASC</t>
  </si>
  <si>
    <t>VBLW12PCBAS</t>
  </si>
  <si>
    <t>Out of 69000</t>
  </si>
  <si>
    <t>SBBS16HGCER</t>
  </si>
  <si>
    <t>Out of 29977</t>
  </si>
  <si>
    <t>Sewing plan of December'2015</t>
  </si>
  <si>
    <t>Total Order Summary of December'2015</t>
  </si>
  <si>
    <t>ELCS16HFUS4</t>
  </si>
  <si>
    <t>NCLS16DFLU1</t>
  </si>
  <si>
    <t>AVUS16FCCDG</t>
  </si>
  <si>
    <t>ABRAR</t>
  </si>
  <si>
    <t>HPPGL</t>
  </si>
  <si>
    <t>Line - 08+03</t>
  </si>
  <si>
    <t>Out of 78500</t>
  </si>
  <si>
    <t>Out of 70000</t>
  </si>
  <si>
    <t>SBBS16HGBA3</t>
  </si>
  <si>
    <t>VDBS16BGSLU</t>
  </si>
  <si>
    <t>Out of 30600</t>
  </si>
  <si>
    <t xml:space="preserve">Inspection Factory </t>
  </si>
  <si>
    <t>Sewing plan of January'2016</t>
  </si>
  <si>
    <t>Total Order Summary of January'2016</t>
  </si>
  <si>
    <t>NCLS16ROND1</t>
  </si>
  <si>
    <t>Out of 33510</t>
  </si>
  <si>
    <t xml:space="preserve">     Line not start</t>
  </si>
  <si>
    <t>Out of 25000</t>
  </si>
  <si>
    <t>AVUS16FPPAN</t>
  </si>
  <si>
    <t>NEW add</t>
  </si>
  <si>
    <t>No of mc. 32</t>
  </si>
  <si>
    <t>Change w GPANM</t>
  </si>
  <si>
    <t>75718(TOP)</t>
  </si>
  <si>
    <t>ACLS16GTKIM</t>
  </si>
  <si>
    <t>ELCS16HJAP2</t>
  </si>
  <si>
    <t>TMBS16IPSG1</t>
  </si>
  <si>
    <t>ELCS16HSUM1</t>
  </si>
  <si>
    <t>VDCS16PLES2</t>
  </si>
  <si>
    <t>Sewing plan of February'2016</t>
  </si>
  <si>
    <t>Total Order Summary of February'2016</t>
  </si>
  <si>
    <t>Style : NCLS16DFLU1</t>
  </si>
  <si>
    <t>Line  - 03+01</t>
  </si>
  <si>
    <t>Line - 10+06</t>
  </si>
  <si>
    <t>Line - 08+SB</t>
  </si>
  <si>
    <t>Line  - 09+02</t>
  </si>
  <si>
    <t>SBBS16HFBA1</t>
  </si>
  <si>
    <t>SBBS16HGDSO</t>
  </si>
  <si>
    <t>16000(32000)</t>
  </si>
  <si>
    <t>ELCS16HBAY2</t>
  </si>
  <si>
    <t>FDCS16HNOUE</t>
  </si>
  <si>
    <t>NCLS16DFLUI</t>
  </si>
  <si>
    <t>47500(57500)</t>
  </si>
  <si>
    <t>NCLS16GTFIL</t>
  </si>
  <si>
    <t>15100(27100)</t>
  </si>
  <si>
    <t>NCLS16GTBAR</t>
  </si>
  <si>
    <t>28600(33600)</t>
  </si>
  <si>
    <t>JBMS16PMA8B</t>
  </si>
  <si>
    <t>JBMS16DENEP</t>
  </si>
  <si>
    <t>JBMS16GENEP</t>
  </si>
  <si>
    <t>AVUS16GPDEB</t>
  </si>
  <si>
    <t>AVUS16FCDEB</t>
  </si>
  <si>
    <t>20500(30500)</t>
  </si>
  <si>
    <t>58500(78500)</t>
  </si>
  <si>
    <t>Line  - 08+05</t>
  </si>
  <si>
    <t>GO SPOTS</t>
  </si>
  <si>
    <t>Replan APS</t>
  </si>
  <si>
    <t>Line  - 05+06</t>
  </si>
  <si>
    <t>Line  - 06+05</t>
  </si>
  <si>
    <t>Line  - 06+04</t>
  </si>
  <si>
    <t>Line  - 07+10</t>
  </si>
  <si>
    <t>Line - 07+10</t>
  </si>
  <si>
    <t>Line - 10+07</t>
  </si>
  <si>
    <t>ICON</t>
  </si>
  <si>
    <t>Line  - 07+06</t>
  </si>
  <si>
    <t>Line  - 08</t>
  </si>
  <si>
    <t>HR</t>
  </si>
  <si>
    <t>Line - 10+01</t>
  </si>
  <si>
    <t>Line - 09+04</t>
  </si>
  <si>
    <t>New add</t>
  </si>
  <si>
    <t>42/120</t>
  </si>
  <si>
    <t>AKCL/HR</t>
  </si>
  <si>
    <t>AKCL/ICON</t>
  </si>
  <si>
    <t>Floor-4rd Floor</t>
  </si>
  <si>
    <t>O Qty: 8500</t>
  </si>
  <si>
    <t>delivery dt. 22-03-16</t>
  </si>
  <si>
    <t>Input: 05-03-16</t>
  </si>
  <si>
    <t>Output close dt.: 24-03-16</t>
  </si>
  <si>
    <t>Input: 24-03-16</t>
  </si>
  <si>
    <t>HVKW16HMBAC</t>
  </si>
  <si>
    <t>Out of 115000</t>
  </si>
  <si>
    <t>HVKW16HMPUP</t>
  </si>
  <si>
    <t>Out of 80000</t>
  </si>
  <si>
    <t>HVKW16HMRET</t>
  </si>
  <si>
    <t>Out of 37000</t>
  </si>
  <si>
    <t>SBKW16HMBLP</t>
  </si>
  <si>
    <t>Out of 173000</t>
  </si>
  <si>
    <t>NCLS15DFLUI</t>
  </si>
  <si>
    <t>Out of 57500</t>
  </si>
  <si>
    <t>KSLS16RVOLE</t>
  </si>
  <si>
    <t>Out of 68000</t>
  </si>
  <si>
    <t>KSLS16RDANS</t>
  </si>
  <si>
    <t>AVUS16GPCRE</t>
  </si>
  <si>
    <t>ECLW16BIGTM</t>
  </si>
  <si>
    <t>Out of 49400</t>
  </si>
  <si>
    <t>ECLW16PYJSM</t>
  </si>
  <si>
    <t>Out of 53200</t>
  </si>
  <si>
    <t>Sewing plan of March'2016</t>
  </si>
  <si>
    <t>Total Order Summary of March'2016</t>
  </si>
  <si>
    <t>replace</t>
  </si>
  <si>
    <t>ITEM: Leggings</t>
  </si>
  <si>
    <t>Sewing plan of April'2016</t>
  </si>
  <si>
    <t>Total Order Summary of April'2016</t>
  </si>
  <si>
    <t>Output close dt.: 11-04-16</t>
  </si>
  <si>
    <t>Output close dt.: 16-04-16</t>
  </si>
  <si>
    <t>Output close dt.: 21-04-16</t>
  </si>
  <si>
    <t>delivery dt. 12-04-16</t>
  </si>
  <si>
    <t>delivery dt. 22-04-16</t>
  </si>
  <si>
    <t>O Qty: 8000(38000)</t>
  </si>
  <si>
    <t>delivery dt. 26-04-16</t>
  </si>
  <si>
    <t>Output close dt.: 28-04-16</t>
  </si>
  <si>
    <t>delivery dt. 18-04-16</t>
  </si>
  <si>
    <t>Out of 39000</t>
  </si>
  <si>
    <t>Out of 38000</t>
  </si>
  <si>
    <t>AVUS16FBIGT</t>
  </si>
  <si>
    <t>VDKW16PPSPO</t>
  </si>
  <si>
    <t>VDKW16BPSPO</t>
  </si>
  <si>
    <t>Out of 45107</t>
  </si>
  <si>
    <t>CABW16QSPOF</t>
  </si>
  <si>
    <t>Out of 33000</t>
  </si>
  <si>
    <t>TCBS16BOFG3</t>
  </si>
  <si>
    <t>Out of 60236</t>
  </si>
  <si>
    <t>JBMS16POMEM</t>
  </si>
  <si>
    <t>O Qty: 12000(24000)</t>
  </si>
  <si>
    <t>Input: 09-03-16</t>
  </si>
  <si>
    <t>Output close dt.: 27-03-16</t>
  </si>
  <si>
    <t>Input: 15-04-16</t>
  </si>
  <si>
    <t>Line - 02+Cloth</t>
  </si>
  <si>
    <t>Out of 75000</t>
  </si>
  <si>
    <t>Input: 10-04-16</t>
  </si>
  <si>
    <t>O Qty: 17989(23989)</t>
  </si>
  <si>
    <t>O Qty: 6000(23989)</t>
  </si>
  <si>
    <t>Day output: 660</t>
  </si>
  <si>
    <t>Sewing plan of May'2016</t>
  </si>
  <si>
    <t>Total Order Summary of May'2016</t>
  </si>
  <si>
    <t>SDKW16SMTED</t>
  </si>
  <si>
    <t>Style : HMGR2</t>
  </si>
  <si>
    <t>Input: 20-04-16</t>
  </si>
  <si>
    <t>Input: 28-04-16</t>
  </si>
  <si>
    <t>Output close dt.: 26-05-16</t>
  </si>
  <si>
    <t>Style : CBMW16SWBAS</t>
  </si>
  <si>
    <t>ITEM: Heavy knit TEE</t>
  </si>
  <si>
    <t>O Qty: 15000(80000)</t>
  </si>
  <si>
    <t>Line - 02+03</t>
  </si>
  <si>
    <t>Line - 03+02</t>
  </si>
  <si>
    <t>delivery dt. 29-04-16</t>
  </si>
  <si>
    <t>O Qty: 7500(15000)</t>
  </si>
  <si>
    <t>ITEM: Heavy knit Trouser</t>
  </si>
  <si>
    <t>Style : CBMW16QSPOF</t>
  </si>
  <si>
    <t>KSLW16RCORO</t>
  </si>
  <si>
    <t>SDKW16SMRON</t>
  </si>
  <si>
    <t>SDBW16SPBE1</t>
  </si>
  <si>
    <t>Out of 61000</t>
  </si>
  <si>
    <t>AVUS16FCPAN</t>
  </si>
  <si>
    <t>Out of 160000</t>
  </si>
  <si>
    <t>Embelishment - Na</t>
  </si>
  <si>
    <t>SBKW16HPIM2</t>
  </si>
  <si>
    <t>SBKW16HPDAK</t>
  </si>
  <si>
    <t>NSLW16RSMGT</t>
  </si>
  <si>
    <t>CELW16TLON4</t>
  </si>
  <si>
    <t>ECLW16PTMH5</t>
  </si>
  <si>
    <t>Out of 95600</t>
  </si>
  <si>
    <t>ECLW16H5BAR</t>
  </si>
  <si>
    <t>ELCS16COTOL</t>
  </si>
  <si>
    <t>ECLW16EFAR1</t>
  </si>
  <si>
    <t>VBLW16PCBAS</t>
  </si>
  <si>
    <t>CBMW16SPMA5</t>
  </si>
  <si>
    <t>NSLW16MES3L</t>
  </si>
  <si>
    <t>Sewing plan of June'2016</t>
  </si>
  <si>
    <t>Total Order Summary of June'2016</t>
  </si>
  <si>
    <t>Replan for AKCL</t>
  </si>
  <si>
    <t>HVKW16HPBLP</t>
  </si>
  <si>
    <t>SDBW16HPBLP</t>
  </si>
  <si>
    <t>out of 111000</t>
  </si>
  <si>
    <t>Sewing plan of July'2016</t>
  </si>
  <si>
    <t>Total Order Summary of July'2016</t>
  </si>
  <si>
    <t>No of mc. 17</t>
  </si>
  <si>
    <t>ECLW16EPGTI</t>
  </si>
  <si>
    <t>Replan for APS</t>
  </si>
  <si>
    <t>OUT OF PLAN QTY LIST OF KIABI</t>
  </si>
  <si>
    <t>OUT OF PLAN QTY LIST OF H&amp;M</t>
  </si>
  <si>
    <t>MOA TANK</t>
  </si>
  <si>
    <t>R-NECK</t>
  </si>
  <si>
    <t>FDLW16GSPOR</t>
  </si>
  <si>
    <t>Out of 31500</t>
  </si>
  <si>
    <t>V-NECK</t>
  </si>
  <si>
    <t>No of mc. 33</t>
  </si>
  <si>
    <t>Sewing plan of August'2016</t>
  </si>
  <si>
    <t>Total Order Summary of August'2016</t>
  </si>
  <si>
    <t>out of 245000</t>
  </si>
  <si>
    <t>PBLS15TKIMO</t>
  </si>
  <si>
    <t>LEGOLAS JOGGERS</t>
  </si>
  <si>
    <t>out of 104551</t>
  </si>
  <si>
    <t>7422604-008</t>
  </si>
  <si>
    <t>out of 96599</t>
  </si>
  <si>
    <t>TMBW16HALO</t>
  </si>
  <si>
    <t>Out of 32000</t>
  </si>
  <si>
    <t>R-Neck</t>
  </si>
  <si>
    <t>Out Of Plan List Lindex</t>
  </si>
  <si>
    <t>Out Of Plan List  H &amp; M</t>
  </si>
  <si>
    <t>Out Of Plan List  Kiabi</t>
  </si>
  <si>
    <t>Sewing plan of September'2016</t>
  </si>
  <si>
    <t>No of mc. 30</t>
  </si>
  <si>
    <t>ITEM: Baby tee</t>
  </si>
  <si>
    <t>R-Neck(TBC)</t>
  </si>
  <si>
    <t>CABS17QGSPO</t>
  </si>
  <si>
    <t>SDBS17SBRON</t>
  </si>
  <si>
    <t>SDKS17SPORT</t>
  </si>
  <si>
    <t>SDBW16HPPGL</t>
  </si>
  <si>
    <t>SLKS17HLILO</t>
  </si>
  <si>
    <t>CDLS17RBASE</t>
  </si>
  <si>
    <t>CDLS17RBAS2</t>
  </si>
  <si>
    <t>AVUW16FCEDG</t>
  </si>
  <si>
    <t>ECLS17COTED</t>
  </si>
  <si>
    <t>Out of 60000</t>
  </si>
  <si>
    <t>Out of 37014</t>
  </si>
  <si>
    <t>Out of 62000</t>
  </si>
  <si>
    <t>Out of 178000</t>
  </si>
  <si>
    <t>Out of 100000</t>
  </si>
  <si>
    <t>Out Of Plan List  Okaidi</t>
  </si>
  <si>
    <t>Out of 44492</t>
  </si>
  <si>
    <t>O.Qty</t>
  </si>
  <si>
    <t>DD</t>
  </si>
  <si>
    <t>Total Order Summary of September'2016</t>
  </si>
  <si>
    <t>Replan at APS</t>
  </si>
  <si>
    <t>RePLAN at APS</t>
  </si>
  <si>
    <t>Replan at AKCL</t>
  </si>
  <si>
    <t>ITEM: Tank top</t>
  </si>
  <si>
    <t>Out of 35944</t>
  </si>
  <si>
    <t>Out of 260000</t>
  </si>
  <si>
    <t>No of mc. 14</t>
  </si>
  <si>
    <t>ITEM: Ladies top</t>
  </si>
  <si>
    <t>SBKS17HMATC</t>
  </si>
  <si>
    <t>Out of 26850</t>
  </si>
  <si>
    <t>VDBS17Y2PNB</t>
  </si>
  <si>
    <t>Out of 110000</t>
  </si>
  <si>
    <t>SDKS17SZIGT</t>
  </si>
  <si>
    <t>NCLS17DFLUI</t>
  </si>
  <si>
    <t>Out of 40500</t>
  </si>
  <si>
    <t>CELS17TMATE</t>
  </si>
  <si>
    <t>NCLS17TECUS</t>
  </si>
  <si>
    <t>CBMS17SWBAS</t>
  </si>
  <si>
    <t>Total Order Summary of October'2016</t>
  </si>
  <si>
    <t>Sewing plan of October'2016</t>
  </si>
  <si>
    <t>FDS17PCFIT</t>
  </si>
  <si>
    <t xml:space="preserve"> SLKS17HCARA</t>
  </si>
  <si>
    <t>Per /Hour: 90</t>
  </si>
  <si>
    <t>FWLW15ELIOT</t>
  </si>
  <si>
    <t>Out Of Plan List  Monoprix</t>
  </si>
  <si>
    <t>D-BETA BIO</t>
  </si>
  <si>
    <t>R-Neck(09-090)</t>
  </si>
  <si>
    <t>MOA TACK</t>
  </si>
  <si>
    <t>Out of 150600</t>
  </si>
  <si>
    <t>ITEM:  Badies tee</t>
  </si>
  <si>
    <t>SDBS17HGNEW</t>
  </si>
  <si>
    <t>SDBS17HPPFC</t>
  </si>
  <si>
    <t>Out of 265000</t>
  </si>
  <si>
    <t>SBKS17HPPXC</t>
  </si>
  <si>
    <t>NCLS16RONDI</t>
  </si>
  <si>
    <t>ECLC17CMARA</t>
  </si>
  <si>
    <t>ECLS17STME2</t>
  </si>
  <si>
    <t>EGBS17IJLF1</t>
  </si>
  <si>
    <t>ECLS17CMATE</t>
  </si>
  <si>
    <t>EGBS17ICERG</t>
  </si>
  <si>
    <t>Sewing plan of November'2016</t>
  </si>
  <si>
    <t>Total Order Summary of November'2016</t>
  </si>
  <si>
    <t>JKK</t>
  </si>
  <si>
    <t>Replan At APS</t>
  </si>
  <si>
    <t>Line - 01+04</t>
  </si>
  <si>
    <t>ITEM: Badies-tee</t>
  </si>
  <si>
    <t>18-12-2016</t>
  </si>
  <si>
    <t>SDBS17HPPGL</t>
  </si>
  <si>
    <t>25-12-2016</t>
  </si>
  <si>
    <t>HVKS17HG6P3</t>
  </si>
  <si>
    <t>30-12-2016</t>
  </si>
  <si>
    <t>31-12-2016</t>
  </si>
  <si>
    <t>08-12-2016</t>
  </si>
  <si>
    <t>CELS17GDFLU</t>
  </si>
  <si>
    <t>14-12-2016</t>
  </si>
  <si>
    <t>NCLS17DDENT</t>
  </si>
  <si>
    <t>24-12-2016</t>
  </si>
  <si>
    <t>28-12-2016</t>
  </si>
  <si>
    <t>EDMS17GBICO</t>
  </si>
  <si>
    <t>11-12-2016</t>
  </si>
  <si>
    <t>JBMS17PWALL</t>
  </si>
  <si>
    <t>15-12-2016</t>
  </si>
  <si>
    <t>23-12-2016</t>
  </si>
  <si>
    <t>JBMS17PKUBA</t>
  </si>
  <si>
    <t>JBMS17PCOLO</t>
  </si>
  <si>
    <t>VBLS17MACAL</t>
  </si>
  <si>
    <t>12-12-2016</t>
  </si>
  <si>
    <t>19-12-2016</t>
  </si>
  <si>
    <t>CELS17GTFRO</t>
  </si>
  <si>
    <t>NCLS17TISHI</t>
  </si>
  <si>
    <t>NSLS17TSMGT</t>
  </si>
  <si>
    <t>NSLS17TSMOK</t>
  </si>
  <si>
    <t>JDUS17FCROP</t>
  </si>
  <si>
    <t>JDUS17FCERE</t>
  </si>
  <si>
    <t>20-12-2016</t>
  </si>
  <si>
    <t>JDUS17FCCPX</t>
  </si>
  <si>
    <t>29-12-2016</t>
  </si>
  <si>
    <t>EGBS17NLGA1</t>
  </si>
  <si>
    <t>EGBS17IJLG1</t>
  </si>
  <si>
    <t>SDBS17SBBAD</t>
  </si>
  <si>
    <t>16-12-2016</t>
  </si>
  <si>
    <t>VDKS17BPSPO</t>
  </si>
  <si>
    <t>22-12-2016</t>
  </si>
  <si>
    <t>VDBS17Y2BFT</t>
  </si>
  <si>
    <t>VDBS17Y2OPF</t>
  </si>
  <si>
    <t>Out of 87242</t>
  </si>
  <si>
    <t>Out of 98600</t>
  </si>
  <si>
    <t>Out of 184800</t>
  </si>
  <si>
    <t>Sewing plan of December'2016</t>
  </si>
  <si>
    <t>Total Order Summary of December'2016</t>
  </si>
  <si>
    <t>Total Sewing Plan QTY</t>
  </si>
  <si>
    <t>46 m/c/110</t>
  </si>
  <si>
    <t>26 mc/150</t>
  </si>
  <si>
    <t>28mc/130</t>
  </si>
  <si>
    <t>26mc/150</t>
  </si>
  <si>
    <t>36mc/120</t>
  </si>
  <si>
    <t>30mc/120</t>
  </si>
  <si>
    <t>35 mc/80</t>
  </si>
  <si>
    <t>t-32/120,b-20/150</t>
  </si>
  <si>
    <t>t-22/180,b-14/200</t>
  </si>
  <si>
    <t>32mc/120</t>
  </si>
  <si>
    <t>t-30mc/120,b-30mc/120</t>
  </si>
  <si>
    <t>Finish</t>
  </si>
  <si>
    <t>Replan At AKCL</t>
  </si>
  <si>
    <t>JDUS17FCCDG</t>
  </si>
  <si>
    <t>25-12-16</t>
  </si>
  <si>
    <t>Sewing plan of January'2017</t>
  </si>
  <si>
    <t>Total Order Summary of January'2017</t>
  </si>
  <si>
    <t>CBMS17SWPR2</t>
  </si>
  <si>
    <t>No of mc. 23</t>
  </si>
  <si>
    <t>Buyer: ICA</t>
  </si>
  <si>
    <t>Output close dt.: 22-01-17</t>
  </si>
  <si>
    <t>delivery dt. 28-01-17</t>
  </si>
  <si>
    <t>Style : EGBS17IJLF1</t>
  </si>
  <si>
    <t>O Qty: 3000(Top)</t>
  </si>
  <si>
    <t>Input: 18-01-17</t>
  </si>
  <si>
    <t>16-01-2017</t>
  </si>
  <si>
    <t>30=01-17</t>
  </si>
  <si>
    <t>Out of 85000</t>
  </si>
  <si>
    <t>23/1/2017</t>
  </si>
  <si>
    <t>15-01-17</t>
  </si>
  <si>
    <t>EGBS17IPCEG</t>
  </si>
  <si>
    <t>Out of 80500</t>
  </si>
  <si>
    <t>NCLS17DVOLA</t>
  </si>
  <si>
    <t>Out of 31102</t>
  </si>
  <si>
    <t>JDUS17GPCFA</t>
  </si>
  <si>
    <t>SDKS17SG4P1</t>
  </si>
  <si>
    <t>Replan at AKCL&amp;APS</t>
  </si>
  <si>
    <t>HELENA 2 PACK</t>
  </si>
  <si>
    <t>JOANNA</t>
  </si>
  <si>
    <t>Sewing plan of February'2017</t>
  </si>
  <si>
    <t>JBMS17PBZIP</t>
  </si>
  <si>
    <t>CDLS17RDANS</t>
  </si>
  <si>
    <t>NCLS17DPRIN</t>
  </si>
  <si>
    <t>NCLS17DBORN</t>
  </si>
  <si>
    <t>NSLS17RPLAG</t>
  </si>
  <si>
    <t>JBMS17TDOTS</t>
  </si>
  <si>
    <t>EDMS17GWALL</t>
  </si>
  <si>
    <t>EGBS17NCERG</t>
  </si>
  <si>
    <t>JDUS17FCSEP</t>
  </si>
  <si>
    <t>JDUS17GPDEB</t>
  </si>
  <si>
    <t>JDUS17FPCOU</t>
  </si>
  <si>
    <t>JDUS17FCFAN</t>
  </si>
  <si>
    <t>SDBS17SGSPO</t>
  </si>
  <si>
    <t>TCKS17BMAIB</t>
  </si>
  <si>
    <t>10-02-2017</t>
  </si>
  <si>
    <t>11-02-2017</t>
  </si>
  <si>
    <t>16-02-2017</t>
  </si>
  <si>
    <t>26-02-2017</t>
  </si>
  <si>
    <t>01-02-2017</t>
  </si>
  <si>
    <t>08-02-2017</t>
  </si>
  <si>
    <t>24-02-2017</t>
  </si>
  <si>
    <t>28-02-2017</t>
  </si>
  <si>
    <t>19-Feb</t>
  </si>
  <si>
    <t>21-Feb</t>
  </si>
  <si>
    <t>22-Feb</t>
  </si>
  <si>
    <t>06-02-2017</t>
  </si>
  <si>
    <t>01-Feb</t>
  </si>
  <si>
    <t>02-Feb</t>
  </si>
  <si>
    <t>07-Feb</t>
  </si>
  <si>
    <t>10-Feb</t>
  </si>
  <si>
    <t>18-Feb</t>
  </si>
  <si>
    <t>20-Feb</t>
  </si>
  <si>
    <t>25-02-2017</t>
  </si>
  <si>
    <t>Out of 40000</t>
  </si>
  <si>
    <t>Out of 150000</t>
  </si>
  <si>
    <t>Out of 65000</t>
  </si>
  <si>
    <t>Out of 66000</t>
  </si>
  <si>
    <t>R-Neck(Black)</t>
  </si>
  <si>
    <t>BETTINO TOP</t>
  </si>
  <si>
    <t>TBC</t>
  </si>
  <si>
    <t>Total Order Summary of  February'2017</t>
  </si>
  <si>
    <t>No of mc. 39</t>
  </si>
  <si>
    <t>EDMS17GPBIC</t>
  </si>
  <si>
    <t>16-02-17</t>
  </si>
  <si>
    <t>JBMS17PMINI</t>
  </si>
  <si>
    <t>26-02-17</t>
  </si>
  <si>
    <t>Out of 206632</t>
  </si>
  <si>
    <t>Line  B</t>
  </si>
  <si>
    <t>SBMS17PWALL</t>
  </si>
  <si>
    <t>Out of40500</t>
  </si>
  <si>
    <t>bon</t>
  </si>
  <si>
    <t>ITEM: Pant</t>
  </si>
  <si>
    <t>ITEM:  Ladies TEE</t>
  </si>
  <si>
    <t>Out Of Plan List  Lindex</t>
  </si>
  <si>
    <t>6496509-003</t>
  </si>
  <si>
    <t>Out of 58491</t>
  </si>
  <si>
    <t>BILL HENLEY</t>
  </si>
  <si>
    <t>7590548-000</t>
  </si>
  <si>
    <t>Style : VBLS17MACAL</t>
  </si>
  <si>
    <t>Buyer: Groupe</t>
  </si>
  <si>
    <t>Style : TIDEBLOVE-2</t>
  </si>
  <si>
    <t>No of mc.22</t>
  </si>
  <si>
    <t>Line - 12+09</t>
  </si>
  <si>
    <t>Sewing plan of March'2017</t>
  </si>
  <si>
    <t>Total Order Summary of  March'2017</t>
  </si>
  <si>
    <t>SDBW17HPPGL</t>
  </si>
  <si>
    <t>SBKS17HPPFC</t>
  </si>
  <si>
    <t>ELCS15HESPC</t>
  </si>
  <si>
    <t>NCLW17TACGT</t>
  </si>
  <si>
    <t>NSLW17RSMGT</t>
  </si>
  <si>
    <t>NSLW17GVALI</t>
  </si>
  <si>
    <t>NSLW17TDEBE</t>
  </si>
  <si>
    <t>NCLW17TBMOD</t>
  </si>
  <si>
    <t>NCLW17DSPOR</t>
  </si>
  <si>
    <t>CDLS17RAMER-2</t>
  </si>
  <si>
    <t>PLLW17GRLON</t>
  </si>
  <si>
    <t>ECLS17ECLIS</t>
  </si>
  <si>
    <t>TGKW17PJEGB</t>
  </si>
  <si>
    <t>24-03-2017</t>
  </si>
  <si>
    <t>30-03-2016</t>
  </si>
  <si>
    <t>16-03-2016</t>
  </si>
  <si>
    <t>30-03-2017</t>
  </si>
  <si>
    <t>02-03-17</t>
  </si>
  <si>
    <t>09-03-2017</t>
  </si>
  <si>
    <t>18-03-2017</t>
  </si>
  <si>
    <t>22-03-2017</t>
  </si>
  <si>
    <t>26-03-2017</t>
  </si>
  <si>
    <t>16-03-2017</t>
  </si>
  <si>
    <t>20-Mar</t>
  </si>
  <si>
    <t>26-Mar</t>
  </si>
  <si>
    <t>30-Mar</t>
  </si>
  <si>
    <t>12-March</t>
  </si>
  <si>
    <t>14-March</t>
  </si>
  <si>
    <t>25-March</t>
  </si>
  <si>
    <t>16-March</t>
  </si>
  <si>
    <t>30-March</t>
  </si>
  <si>
    <t>Out of 125000</t>
  </si>
  <si>
    <t>Out of 63500</t>
  </si>
  <si>
    <t>Out of 55000</t>
  </si>
  <si>
    <t>Out of 33200</t>
  </si>
  <si>
    <t>best tex</t>
  </si>
  <si>
    <t>running</t>
  </si>
  <si>
    <t>7575610-000</t>
  </si>
  <si>
    <t>No of mc. 29</t>
  </si>
  <si>
    <t>Replan at ACL</t>
  </si>
  <si>
    <t>ITEM: Baby trouser</t>
  </si>
  <si>
    <t>ITEM: Jacket</t>
  </si>
  <si>
    <t>O Qty: 4000</t>
  </si>
  <si>
    <t>replan at  AKCL</t>
  </si>
  <si>
    <t>Style : NSLW17TCLOD</t>
  </si>
  <si>
    <t>ITEM:  Mens POLO</t>
  </si>
  <si>
    <t>Line - 12</t>
  </si>
  <si>
    <t>No of mc.24</t>
  </si>
  <si>
    <t>NCKW17KMAIL</t>
  </si>
  <si>
    <t>SLKW17HBOIT</t>
  </si>
  <si>
    <t>CDLS17RDANS-3</t>
  </si>
  <si>
    <t>NCLW17DCLAU-1</t>
  </si>
  <si>
    <t>CDLS17RAMER-3</t>
  </si>
  <si>
    <t>NCLW17DCLAU-2</t>
  </si>
  <si>
    <t>EDMW17GOAOP</t>
  </si>
  <si>
    <t>NCLS17RONDI</t>
  </si>
  <si>
    <t>TGKS17RONDN</t>
  </si>
  <si>
    <t>JBMW17POAOP</t>
  </si>
  <si>
    <t>ECLS17PBROD</t>
  </si>
  <si>
    <t>EGBS17IJLF2</t>
  </si>
  <si>
    <t>JDUW17FCBIG</t>
  </si>
  <si>
    <t>JDUW17FCDEG</t>
  </si>
  <si>
    <t>SDKW17SPCAP</t>
  </si>
  <si>
    <t>SDBW17SBRON</t>
  </si>
  <si>
    <t>G. TOTAL</t>
  </si>
  <si>
    <t>01-Apr</t>
  </si>
  <si>
    <t>04-Apr</t>
  </si>
  <si>
    <t>25-Apr</t>
  </si>
  <si>
    <t>03-Apr</t>
  </si>
  <si>
    <t>10-Apr</t>
  </si>
  <si>
    <t>17-Apr</t>
  </si>
  <si>
    <t>24-Apr</t>
  </si>
  <si>
    <t>27-Apr</t>
  </si>
  <si>
    <t>13-Apr</t>
  </si>
  <si>
    <t>23-Apr</t>
  </si>
  <si>
    <t>30-Apr</t>
  </si>
  <si>
    <t>Out of 63388</t>
  </si>
  <si>
    <t>Out of 45000</t>
  </si>
  <si>
    <t>Out of 52000</t>
  </si>
  <si>
    <t>Out of 38838</t>
  </si>
  <si>
    <t>Out of 43000</t>
  </si>
  <si>
    <t>Out of 68400</t>
  </si>
  <si>
    <t>Out of 38700</t>
  </si>
  <si>
    <t>Sewing plan of April'2017</t>
  </si>
  <si>
    <t>Total Order Summary of  April'2017</t>
  </si>
  <si>
    <t>NORA</t>
  </si>
  <si>
    <t>Out of 87000</t>
  </si>
  <si>
    <t>OLGA</t>
  </si>
  <si>
    <t>14-Apr</t>
  </si>
  <si>
    <t>5.03.17</t>
  </si>
  <si>
    <t>14.03.17</t>
  </si>
  <si>
    <t>Style : SDBS17HPPGL</t>
  </si>
  <si>
    <t>Replace</t>
  </si>
  <si>
    <t>Replan at aps</t>
  </si>
  <si>
    <t>Replace at aps</t>
  </si>
  <si>
    <t>Replan at  Aps</t>
  </si>
  <si>
    <t>No of mc. 28</t>
  </si>
  <si>
    <t>26-03-17</t>
  </si>
  <si>
    <t>Day output: 1440</t>
  </si>
  <si>
    <t>Per /Hour: 160</t>
  </si>
  <si>
    <t>ITEM: Baby Tee</t>
  </si>
  <si>
    <t>7601588 -000</t>
  </si>
  <si>
    <t>ITEM: Baby Rumpper</t>
  </si>
  <si>
    <t>Out of 100800</t>
  </si>
  <si>
    <t>No of mc. 27</t>
  </si>
  <si>
    <t>SBKW17HPPXC</t>
  </si>
  <si>
    <t>JDUW17FCEDG</t>
  </si>
  <si>
    <t>JDUW17FCJER</t>
  </si>
  <si>
    <t>ECLW17COTOL</t>
  </si>
  <si>
    <t>ECLW17COTED</t>
  </si>
  <si>
    <t>SDKW17STEGT</t>
  </si>
  <si>
    <t>ACKW17HG5C2</t>
  </si>
  <si>
    <t>22-May</t>
  </si>
  <si>
    <t>23-May</t>
  </si>
  <si>
    <t>02-May</t>
  </si>
  <si>
    <t>10-May</t>
  </si>
  <si>
    <t>30-May</t>
  </si>
  <si>
    <t>08-May</t>
  </si>
  <si>
    <t>16-May</t>
  </si>
  <si>
    <t>20-May</t>
  </si>
  <si>
    <t>28-May</t>
  </si>
  <si>
    <t>04-June</t>
  </si>
  <si>
    <t>10-June</t>
  </si>
  <si>
    <t>01-05-2017</t>
  </si>
  <si>
    <t>03-05-2017</t>
  </si>
  <si>
    <t>05-05-2017</t>
  </si>
  <si>
    <t>10-05-2017</t>
  </si>
  <si>
    <t>15-05-2017</t>
  </si>
  <si>
    <t>25-05-2017</t>
  </si>
  <si>
    <t>26-05-2017</t>
  </si>
  <si>
    <t>30-05-2017</t>
  </si>
  <si>
    <t>Out of 92000</t>
  </si>
  <si>
    <t>Out of 56000</t>
  </si>
  <si>
    <t>7596477-000</t>
  </si>
  <si>
    <t>7586498-000</t>
  </si>
  <si>
    <t>7594856-000</t>
  </si>
  <si>
    <t>7595159-000</t>
  </si>
  <si>
    <t>Total Order Summary of  May'2017</t>
  </si>
  <si>
    <t>Sewing plan of May'2017</t>
  </si>
  <si>
    <t>Style : TGKW17PJEGB</t>
  </si>
  <si>
    <t>FCCPX</t>
  </si>
  <si>
    <t>Need plan</t>
  </si>
  <si>
    <t>6496509-005</t>
  </si>
  <si>
    <t>Replace at AKCL</t>
  </si>
  <si>
    <t>Line  - 03</t>
  </si>
  <si>
    <t>No of mc.20</t>
  </si>
  <si>
    <t xml:space="preserve">AKCL </t>
  </si>
  <si>
    <t>7422604-021</t>
  </si>
  <si>
    <t>TIME: 8.00-5.00</t>
  </si>
  <si>
    <t>Day output: 960</t>
  </si>
  <si>
    <t>TIME:8.00-5.00</t>
  </si>
  <si>
    <t>Day output: 1200</t>
  </si>
  <si>
    <t>ITEM: T-Shirt</t>
  </si>
  <si>
    <t>Style : NCLW17ELIOT</t>
  </si>
  <si>
    <t>ITEM: rumper</t>
  </si>
  <si>
    <t>Style : LCELA40</t>
  </si>
  <si>
    <t>No of mc.18</t>
  </si>
  <si>
    <t>Style : LCELARON</t>
  </si>
  <si>
    <t>Sewing plan of June'2017</t>
  </si>
  <si>
    <t>Total Order Summary of  June'2017</t>
  </si>
  <si>
    <t>ECLW17NJEGT</t>
  </si>
  <si>
    <t>ECLW17VESGT</t>
  </si>
  <si>
    <t>ECLW17EMAT1</t>
  </si>
  <si>
    <t>29-June</t>
  </si>
  <si>
    <t>02-June</t>
  </si>
  <si>
    <t>14.06.17</t>
  </si>
  <si>
    <t>15.06.17</t>
  </si>
  <si>
    <t>22.06.17</t>
  </si>
  <si>
    <t>20.06.17</t>
  </si>
  <si>
    <t>21.06.17</t>
  </si>
  <si>
    <t>23.06.17</t>
  </si>
  <si>
    <t>24.06.17</t>
  </si>
  <si>
    <t>25.06.17</t>
  </si>
  <si>
    <t>Out of 150800</t>
  </si>
  <si>
    <t>Out of 24000</t>
  </si>
  <si>
    <t>7422611-000</t>
  </si>
  <si>
    <t>No of mc. 34</t>
  </si>
  <si>
    <t>Line C+A</t>
  </si>
  <si>
    <r>
      <t>6496509-00</t>
    </r>
    <r>
      <rPr>
        <sz val="12"/>
        <color rgb="FF1F497D"/>
        <rFont val="Calibri"/>
        <family val="2"/>
        <scheme val="minor"/>
      </rPr>
      <t>6</t>
    </r>
  </si>
  <si>
    <t>Out of 49820</t>
  </si>
  <si>
    <t>Out of 200000</t>
  </si>
  <si>
    <t>Style : SDKW17SPCAP</t>
  </si>
  <si>
    <t>O Qty: 10000</t>
  </si>
  <si>
    <t>Day output: 1600</t>
  </si>
  <si>
    <t>Style : ECLW17EMAT1(Top)</t>
  </si>
  <si>
    <t>No of mc. 16</t>
  </si>
  <si>
    <t>Style : ECLW17EMAT1(Btm)</t>
  </si>
  <si>
    <t>ITEM:  Ladies trouser</t>
  </si>
  <si>
    <t>Line E+Hold</t>
  </si>
  <si>
    <t>O Qty: 5000</t>
  </si>
  <si>
    <t>Repaln at APS</t>
  </si>
  <si>
    <t>Sewing plan of July'2017</t>
  </si>
  <si>
    <t>Total Order Summary of  July'2017</t>
  </si>
  <si>
    <t>Deacon hood</t>
  </si>
  <si>
    <t>Peter polo</t>
  </si>
  <si>
    <t>R-Neck basic fit</t>
  </si>
  <si>
    <t>ITEM: T-SHIRT</t>
  </si>
  <si>
    <t>O Qty: 8000</t>
  </si>
  <si>
    <t>Style : TONCALYA2</t>
  </si>
  <si>
    <t>O Qty: 1500</t>
  </si>
  <si>
    <t xml:space="preserve">Style : 60 EPSILONE </t>
  </si>
  <si>
    <t>Style : 32 BUFFLE G</t>
  </si>
  <si>
    <t>O Qty: 5075</t>
  </si>
  <si>
    <t>Input: 20-07-17</t>
  </si>
  <si>
    <t>O Qty: 1440</t>
  </si>
  <si>
    <t>O Qty: 3000</t>
  </si>
  <si>
    <t>ITEM: t-shirt</t>
  </si>
  <si>
    <t>Style : G-2926-11</t>
  </si>
  <si>
    <t>Input: 24-07-17</t>
  </si>
  <si>
    <t>Style : G-2445-10</t>
  </si>
  <si>
    <t>Style : G-1786-10</t>
  </si>
  <si>
    <t>Style : BY-2730-10</t>
  </si>
  <si>
    <t>Style : BY-2733-11</t>
  </si>
  <si>
    <t>O Qty: 3600</t>
  </si>
  <si>
    <t>Style : BY-2893-11</t>
  </si>
  <si>
    <t>Style : G-2927-11</t>
  </si>
  <si>
    <t>Input: 22-07-17</t>
  </si>
  <si>
    <t>Repaln at AKCL</t>
  </si>
  <si>
    <t>Style : R-Neck Basic fit (Long sl)</t>
  </si>
  <si>
    <t>6496509-000</t>
  </si>
  <si>
    <t>7422611-001</t>
  </si>
  <si>
    <t>Bobby Pocket tee</t>
  </si>
  <si>
    <t>Order Qty: 3000</t>
  </si>
  <si>
    <t>Line - 1</t>
  </si>
  <si>
    <t>O Qty: 5100</t>
  </si>
  <si>
    <t>O Qty: 9630</t>
  </si>
  <si>
    <t>Per /Hour: 220</t>
  </si>
  <si>
    <t>Order Qty: 5000</t>
  </si>
  <si>
    <t>O Qty: 8490</t>
  </si>
  <si>
    <t>delivery dt.28-08-17</t>
  </si>
  <si>
    <t>Sewing plan of August'2017</t>
  </si>
  <si>
    <t>Total Order Summary of  August'2017</t>
  </si>
  <si>
    <t>No of mc. 12</t>
  </si>
  <si>
    <t>Per /Hour: 300</t>
  </si>
  <si>
    <t>Input: 29-07-17</t>
  </si>
  <si>
    <t>Input: 27-07-17</t>
  </si>
  <si>
    <t>Style : 84923</t>
  </si>
  <si>
    <t>Input: 05-08-17</t>
  </si>
  <si>
    <t xml:space="preserve"> delivery dt. 23-08-17</t>
  </si>
  <si>
    <t>Output close dt.: 21-08-17</t>
  </si>
  <si>
    <t>Style : 85189</t>
  </si>
  <si>
    <t>O Qty: 13946</t>
  </si>
  <si>
    <t>Input: 07-08-17</t>
  </si>
  <si>
    <t xml:space="preserve"> delivery dt. 06-09-17</t>
  </si>
  <si>
    <t>Output close dt.: 20-08-17</t>
  </si>
  <si>
    <t>Style : 85570</t>
  </si>
  <si>
    <t>Output close dt.: 19-08-17</t>
  </si>
  <si>
    <t xml:space="preserve"> delivery dt.06-09-17</t>
  </si>
  <si>
    <t>Style : 85428</t>
  </si>
  <si>
    <t>O Qty: 29904</t>
  </si>
  <si>
    <t>Output close dt.: 22-08-17</t>
  </si>
  <si>
    <t>O Qty: 9500</t>
  </si>
  <si>
    <t>Style : SDBW17HPM12</t>
  </si>
  <si>
    <t>ITEM: Babies top</t>
  </si>
  <si>
    <t xml:space="preserve"> Delivery dt. 26-08-17</t>
  </si>
  <si>
    <t xml:space="preserve"> Delivery dt. 20-08-17</t>
  </si>
  <si>
    <t xml:space="preserve"> Delivery dt. 31-08-17</t>
  </si>
  <si>
    <t>delivery dt.07-08-17</t>
  </si>
  <si>
    <t>Style : 7639055-000</t>
  </si>
  <si>
    <t>O Qty: 2997</t>
  </si>
  <si>
    <t>Style : 7642426-000</t>
  </si>
  <si>
    <t>O Qty: 9272</t>
  </si>
  <si>
    <t>delivery dt.21-08-17</t>
  </si>
  <si>
    <t>Input: 12-08-17</t>
  </si>
  <si>
    <t>Output close dt.: 17-08-17</t>
  </si>
  <si>
    <t>Style : 7422604-027</t>
  </si>
  <si>
    <t>Style :JBMW17TRAY2</t>
  </si>
  <si>
    <t>ITEM:  Mens Tee</t>
  </si>
  <si>
    <t>Style :SDBW17HBCHE</t>
  </si>
  <si>
    <t>ITEM:  Babies tee</t>
  </si>
  <si>
    <t xml:space="preserve"> Delivery dt. 15-08-17</t>
  </si>
  <si>
    <t xml:space="preserve"> Actual delivery dt. 16-08-17</t>
  </si>
  <si>
    <t>Line - 08+Unit-03</t>
  </si>
  <si>
    <t>Order Qty: 23000(66893)</t>
  </si>
  <si>
    <t>O Qty: 6000</t>
  </si>
  <si>
    <t>Input: 25-07-17</t>
  </si>
  <si>
    <t>delivery dt. 20-08-17</t>
  </si>
  <si>
    <t>Input: 17-08-17</t>
  </si>
  <si>
    <t>Style : TGKS17RONDN</t>
  </si>
  <si>
    <t>Style : 7638616-000</t>
  </si>
  <si>
    <t>delivery dt. 21-08-17</t>
  </si>
  <si>
    <t>Style : JDW17FCEDG</t>
  </si>
  <si>
    <t>ITEM: TEE</t>
  </si>
  <si>
    <t>Style : JDW17FCJER</t>
  </si>
  <si>
    <t>Input: 08-08-17</t>
  </si>
  <si>
    <t xml:space="preserve"> Delivery dt. 25-08-17</t>
  </si>
  <si>
    <t>Input: 16-08-17</t>
  </si>
  <si>
    <t>Style : 60 ESTIME</t>
  </si>
  <si>
    <t>O Qty: 5374</t>
  </si>
  <si>
    <t xml:space="preserve">Style : 60 ETNIQUE </t>
  </si>
  <si>
    <t>O Qty: 3024</t>
  </si>
  <si>
    <t xml:space="preserve"> Actual delivery dt.20-08-17</t>
  </si>
  <si>
    <t>O Qty: 3428</t>
  </si>
  <si>
    <t>Style : 32 BIGOTE G</t>
  </si>
  <si>
    <t>O Qty: 7356</t>
  </si>
  <si>
    <t>Input: 10-08-17</t>
  </si>
  <si>
    <t>Style :7638615-000</t>
  </si>
  <si>
    <t>delivery dt. 28-08-17</t>
  </si>
  <si>
    <t>Output close dt.: 16-08-17</t>
  </si>
  <si>
    <t>Output close dt.: 26-08-17</t>
  </si>
  <si>
    <t>Style :7630929-000</t>
  </si>
  <si>
    <t>O Qty: 6600</t>
  </si>
  <si>
    <t>Style :7640761-000</t>
  </si>
  <si>
    <t>O Qty: 7803</t>
  </si>
  <si>
    <t>Style :7650583-000</t>
  </si>
  <si>
    <t>O Qty: 7088</t>
  </si>
  <si>
    <t>Style : 7645962-000</t>
  </si>
  <si>
    <t>O Qty: 16012</t>
  </si>
  <si>
    <t>Input: 06-08-17</t>
  </si>
  <si>
    <t>O Qty: 2436</t>
  </si>
  <si>
    <t>Style : 51NULL(Btm)</t>
  </si>
  <si>
    <t>Style : 51NULL(Top)</t>
  </si>
  <si>
    <t>Style : HUNN LS</t>
  </si>
  <si>
    <t>Output close dt.: 23-08-17</t>
  </si>
  <si>
    <t>Input: 26-07-17</t>
  </si>
  <si>
    <t>Line A+Hold</t>
  </si>
  <si>
    <t>Actual delivery dt.18-08-17</t>
  </si>
  <si>
    <t>Output close dt.: 28-08-17</t>
  </si>
  <si>
    <t>Style : Anderson</t>
  </si>
  <si>
    <t>Actual delivery dt.31-07-17</t>
  </si>
  <si>
    <t>O Qty: 20000(114731)</t>
  </si>
  <si>
    <t>ITEM: Baby polo</t>
  </si>
  <si>
    <t>Day output: 900</t>
  </si>
  <si>
    <t xml:space="preserve"> Delivery dt. 14-08-17</t>
  </si>
  <si>
    <t>Style : ACKW17SCAC4</t>
  </si>
  <si>
    <t>ITEM: Ladies hoody</t>
  </si>
  <si>
    <t xml:space="preserve"> Actual delivery dt. 22-08-17</t>
  </si>
  <si>
    <t>Line F+Cloth+Hold</t>
  </si>
  <si>
    <t>Input: 02-08-17</t>
  </si>
  <si>
    <t>delivery dt. 11-09-17</t>
  </si>
  <si>
    <t>Line A+Cloth</t>
  </si>
  <si>
    <t>Close output : 19-08-17</t>
  </si>
  <si>
    <t>Input: 13-08-17</t>
  </si>
  <si>
    <t>Input: 19-08-17</t>
  </si>
  <si>
    <t>Style : Anderson(145)</t>
  </si>
  <si>
    <t>Actual delivery dt.30-07-17</t>
  </si>
  <si>
    <t xml:space="preserve"> Delivery dt.12-09-17</t>
  </si>
  <si>
    <t>O Qty: 5000(10000)</t>
  </si>
  <si>
    <t>Actual delivery dt.13-08-17</t>
  </si>
  <si>
    <t>Style : R-Neck LS silm(Huafu)</t>
  </si>
  <si>
    <t>Style : R-Neck LS silm889</t>
  </si>
  <si>
    <t>O Qty: 6007</t>
  </si>
  <si>
    <t>Output close dt.: 27-08-17</t>
  </si>
  <si>
    <t>O Qty : 25626(76878)</t>
  </si>
  <si>
    <t>Input: 21-08-17</t>
  </si>
  <si>
    <t>Output close dt.: 29-08-17</t>
  </si>
  <si>
    <t xml:space="preserve"> delivery dt.04-10-17</t>
  </si>
  <si>
    <t>Input: 22-08-17</t>
  </si>
  <si>
    <t>O Qty : 18854</t>
  </si>
  <si>
    <t>Day output: 1800</t>
  </si>
  <si>
    <t>Output close dt.: 12-09-17</t>
  </si>
  <si>
    <t>Style : 85260</t>
  </si>
  <si>
    <t>O Qty: 13679</t>
  </si>
  <si>
    <t xml:space="preserve"> delivery dt. 13-09-17</t>
  </si>
  <si>
    <t>Style : 83619</t>
  </si>
  <si>
    <t>O Qty: 6120</t>
  </si>
  <si>
    <t xml:space="preserve"> delivery dt. 15-09-17</t>
  </si>
  <si>
    <t>Sewing plan of  September'2017</t>
  </si>
  <si>
    <t>Style : 85258</t>
  </si>
  <si>
    <t>O Qty: 8846</t>
  </si>
  <si>
    <t xml:space="preserve"> delivery dt. 20-09-17</t>
  </si>
  <si>
    <t>O Qty: 16403(33403)</t>
  </si>
  <si>
    <t>Input: 23-08-17</t>
  </si>
  <si>
    <t>Day output: 1620</t>
  </si>
  <si>
    <t>Output close dt.: 13-09-17</t>
  </si>
  <si>
    <t>Actual delivery dt.08-09-17</t>
  </si>
  <si>
    <t>Style : TGK18PPSPO</t>
  </si>
  <si>
    <t>delivery dt. 26-09-17</t>
  </si>
  <si>
    <t>Output close dt.:  21-09-17</t>
  </si>
  <si>
    <t xml:space="preserve"> Delivery dt.11-09-17</t>
  </si>
  <si>
    <t>Close output: 11-09-17</t>
  </si>
  <si>
    <t>Style : ECLS18PVISC</t>
  </si>
  <si>
    <t>Input: 11-09-17</t>
  </si>
  <si>
    <t>Order Qty: 16565(33065)</t>
  </si>
  <si>
    <t>Embelishment - woven fabric</t>
  </si>
  <si>
    <t>Close output: 28-09-17</t>
  </si>
  <si>
    <t xml:space="preserve"> Delivery dt.28-09-17</t>
  </si>
  <si>
    <t xml:space="preserve"> Delivery dt.19-09-17</t>
  </si>
  <si>
    <t>Close output: 14-09-17</t>
  </si>
  <si>
    <t>Style : ECLW17EMAT1(inner)</t>
  </si>
  <si>
    <t>Style : ECLS18LVISC</t>
  </si>
  <si>
    <t>Order Qty: 13500</t>
  </si>
  <si>
    <t>Day output: 990</t>
  </si>
  <si>
    <t>No of mc. 41</t>
  </si>
  <si>
    <t>ITEM:  Ladies Shirt</t>
  </si>
  <si>
    <t>Per /Hour: 110</t>
  </si>
  <si>
    <t>Input: 13-09-17</t>
  </si>
  <si>
    <t xml:space="preserve"> Delivery dt.30-09-17</t>
  </si>
  <si>
    <t xml:space="preserve"> Actual delivery dt. 27-09-17</t>
  </si>
  <si>
    <t>Input: 14-08-17</t>
  </si>
  <si>
    <t>Line E+SB</t>
  </si>
  <si>
    <t>Style : SDKW18SPCAP</t>
  </si>
  <si>
    <t>Input: 20-08-17</t>
  </si>
  <si>
    <t>ITEM:  Ladies top</t>
  </si>
  <si>
    <t>Day output: 1980</t>
  </si>
  <si>
    <t>Style : NSLS18RPORT</t>
  </si>
  <si>
    <t xml:space="preserve"> Delivery dt.14-09-17</t>
  </si>
  <si>
    <t>No of mc. 31</t>
  </si>
  <si>
    <t xml:space="preserve"> Actual delivery dt. 18-09-17</t>
  </si>
  <si>
    <t>O Qty:  16500(33000)</t>
  </si>
  <si>
    <t>Output close dt.:  19-09-17</t>
  </si>
  <si>
    <t xml:space="preserve"> Delivery dt. 11-09-17</t>
  </si>
  <si>
    <t>Close output : 21-08-17</t>
  </si>
  <si>
    <t>Style : SLW16HBRET</t>
  </si>
  <si>
    <t xml:space="preserve"> Delivery dt.27-09-17</t>
  </si>
  <si>
    <t xml:space="preserve">Order Qty: 12000 </t>
  </si>
  <si>
    <t>Input: 12-09-17</t>
  </si>
  <si>
    <t>Day output: 2700</t>
  </si>
  <si>
    <t>No of mc. 15</t>
  </si>
  <si>
    <t>ITEM:  Ladies Tank top</t>
  </si>
  <si>
    <t xml:space="preserve"> Delivery dt. 10-09-17</t>
  </si>
  <si>
    <t>Order Qty: 13080</t>
  </si>
  <si>
    <t>Input: 28-08-17</t>
  </si>
  <si>
    <t xml:space="preserve"> Delivery dt. 15-09-17</t>
  </si>
  <si>
    <t xml:space="preserve"> Delivery dt. 30-09-17</t>
  </si>
  <si>
    <t>Close output : 12-09-17</t>
  </si>
  <si>
    <t>Order Qty: 2572+240</t>
  </si>
  <si>
    <t>Style : SKEBAZLONF+TEEF</t>
  </si>
  <si>
    <t xml:space="preserve"> Delivery dt. 20-09-17</t>
  </si>
  <si>
    <t>Input: 27-08-17</t>
  </si>
  <si>
    <t>Style : 7422604-028</t>
  </si>
  <si>
    <t>Per /Hour: 250</t>
  </si>
  <si>
    <t>Day output: 2250</t>
  </si>
  <si>
    <t>Style : 7496509-003</t>
  </si>
  <si>
    <t>Style : 7425394-011</t>
  </si>
  <si>
    <t>Output close dt.: 24-08-17</t>
  </si>
  <si>
    <t>Style :7422611-004</t>
  </si>
  <si>
    <t>Input: 24-08-17</t>
  </si>
  <si>
    <t>Style : C-BA103</t>
  </si>
  <si>
    <t>O Qty: 5380</t>
  </si>
  <si>
    <t xml:space="preserve"> Actual delivery dt. 09-09-17</t>
  </si>
  <si>
    <t>Style : 7657568-000(top)</t>
  </si>
  <si>
    <t>O Qty: 9074</t>
  </si>
  <si>
    <t>ITEM: Baby rumper</t>
  </si>
  <si>
    <t>delivery dt.18-09-17</t>
  </si>
  <si>
    <t>Style : 7657569-000(top)</t>
  </si>
  <si>
    <t>Output close dt.: 17-09-17</t>
  </si>
  <si>
    <t>Style : 7657568-000(Btm)</t>
  </si>
  <si>
    <t>Style : 7657569-000(Btm)</t>
  </si>
  <si>
    <t>O Qty: 9067</t>
  </si>
  <si>
    <t>Output close dt.: 10-09-17</t>
  </si>
  <si>
    <t>Input: 09-09-17</t>
  </si>
  <si>
    <t>Output close dt.: 16-09-17</t>
  </si>
  <si>
    <t>Style : 7637253-001</t>
  </si>
  <si>
    <t>Style : 7657566-000</t>
  </si>
  <si>
    <t>O Qty: 6109</t>
  </si>
  <si>
    <t>Style : 7657567-000</t>
  </si>
  <si>
    <t>O Qty: 6407</t>
  </si>
  <si>
    <t>Output close dt.: 14-09-17</t>
  </si>
  <si>
    <t>Input: 10-09-17</t>
  </si>
  <si>
    <t>Style : 7652091-000</t>
  </si>
  <si>
    <t>O Qty: 8104</t>
  </si>
  <si>
    <t>Output close dt.: 21-09-17</t>
  </si>
  <si>
    <t>delivery dt.25-09-17</t>
  </si>
  <si>
    <t>Day output: 1485</t>
  </si>
  <si>
    <t>Per /Hour: 165</t>
  </si>
  <si>
    <t>Output close dt.: 30-09-17</t>
  </si>
  <si>
    <t>O Qty: 20000(50000)</t>
  </si>
  <si>
    <t>Input: 18-09-17</t>
  </si>
  <si>
    <t>Output close dt.: 28-09-17</t>
  </si>
  <si>
    <t>O Qty: 10000(50000)</t>
  </si>
  <si>
    <t>Style : Gill hood</t>
  </si>
  <si>
    <t>O Qty: 20000(60000)</t>
  </si>
  <si>
    <t>ITEM: hoody</t>
  </si>
  <si>
    <t>Embelishment - aop</t>
  </si>
  <si>
    <t>Actual delivery dt.15-09-17</t>
  </si>
  <si>
    <t>Output close dt.: 27-09-17</t>
  </si>
  <si>
    <t>Style : Ari Sweater</t>
  </si>
  <si>
    <t>O Qty: 20000(40000)</t>
  </si>
  <si>
    <t>Input: 30-08-17</t>
  </si>
  <si>
    <t>Actual delivery dt. 24-09-17</t>
  </si>
  <si>
    <t>Output close dt.: 26-09-17</t>
  </si>
  <si>
    <t>Line  C+Hold</t>
  </si>
  <si>
    <t>Style : 32 LANGOUSTE G</t>
  </si>
  <si>
    <t>O Qty: 4706</t>
  </si>
  <si>
    <t>Output close dt.: 24-09-17</t>
  </si>
  <si>
    <t>O Qty: 8693</t>
  </si>
  <si>
    <t>Input: 26-08-17</t>
  </si>
  <si>
    <t>Style : 6959271-054</t>
  </si>
  <si>
    <t>Style : 7294146-027</t>
  </si>
  <si>
    <t>O Qty: 9380</t>
  </si>
  <si>
    <t>delivery dt. 18-09-17</t>
  </si>
  <si>
    <t>O Qty: 4923</t>
  </si>
  <si>
    <t>Style : 7648419-000</t>
  </si>
  <si>
    <t>O Qty: 7200</t>
  </si>
  <si>
    <t>Day output: 810</t>
  </si>
  <si>
    <t>No of mc. 50</t>
  </si>
  <si>
    <t>Embelishment - Emb.</t>
  </si>
  <si>
    <t>delivery dt. 25-09-17</t>
  </si>
  <si>
    <t>Output close dt.: 23-09-17</t>
  </si>
  <si>
    <t>use for 419-000</t>
  </si>
  <si>
    <t>Style : ABLS18DLOVE</t>
  </si>
  <si>
    <t xml:space="preserve"> Delivery dt. 12-09-17</t>
  </si>
  <si>
    <t>ITEM:  Ladies Tee</t>
  </si>
  <si>
    <t>Order Qty: 16500(26500)</t>
  </si>
  <si>
    <t>Order Qty: 10000(26500)</t>
  </si>
  <si>
    <t>Style : 6959271-055</t>
  </si>
  <si>
    <t>O Qty: 25336(50336)</t>
  </si>
  <si>
    <t>delivery dt. 02-10-17</t>
  </si>
  <si>
    <t>Style : SLS18HBASI</t>
  </si>
  <si>
    <t>Order Qty: 18000</t>
  </si>
  <si>
    <t>ITEM:  Ladies tee</t>
  </si>
  <si>
    <t>Line  - 03+unit-03</t>
  </si>
  <si>
    <t>delivery dt. 12-09-17</t>
  </si>
  <si>
    <t>Style : 7657538-000</t>
  </si>
  <si>
    <t>O Qty: 9463</t>
  </si>
  <si>
    <t>Style : 7590451-004</t>
  </si>
  <si>
    <t>O Qty: 7700</t>
  </si>
  <si>
    <t>Style : 7590451-005</t>
  </si>
  <si>
    <t>Input: 17-09-17</t>
  </si>
  <si>
    <t>Output close dt.: 20-09-17</t>
  </si>
  <si>
    <t>Input: 24-09-17</t>
  </si>
  <si>
    <t>delivery dt. 09-10-17</t>
  </si>
  <si>
    <t>Style : 7294146-028</t>
  </si>
  <si>
    <t>Style : SDBS18HBMAR</t>
  </si>
  <si>
    <t>ITEM: Badies tee</t>
  </si>
  <si>
    <t>O Qty: 20000(43000)</t>
  </si>
  <si>
    <t>Style : DLLW17GSPOR</t>
  </si>
  <si>
    <t xml:space="preserve"> Delivery dt. 25-09-17</t>
  </si>
  <si>
    <t>No of mc. 44</t>
  </si>
  <si>
    <t>ITEM: Labies Jacket</t>
  </si>
  <si>
    <t>Order Qty: 15000(48000)</t>
  </si>
  <si>
    <t>Close output : 27-09-17</t>
  </si>
  <si>
    <t>Style : 7653551-000</t>
  </si>
  <si>
    <t>O Qty: 8329</t>
  </si>
  <si>
    <t>Style : 7658796-000</t>
  </si>
  <si>
    <t>Input: 16-09-17</t>
  </si>
  <si>
    <t>Style : 7422604-029</t>
  </si>
  <si>
    <t>Input: 20-09-17</t>
  </si>
  <si>
    <t>Style : 7425394-012</t>
  </si>
  <si>
    <t>Style : 7496509-004</t>
  </si>
  <si>
    <t>Input: 23-09-17</t>
  </si>
  <si>
    <t>Output close dt.: 25-09-17</t>
  </si>
  <si>
    <t>Input: 25-09-17</t>
  </si>
  <si>
    <t>Style : ECLS18COTO2</t>
  </si>
  <si>
    <t>No of mc. 35</t>
  </si>
  <si>
    <t>Close output : 19-09-17</t>
  </si>
  <si>
    <t>Order Qty: 14700</t>
  </si>
  <si>
    <t>Style : 7652247-000</t>
  </si>
  <si>
    <t>O Qty: 5600</t>
  </si>
  <si>
    <t>ITEM: Rumper</t>
  </si>
  <si>
    <t>Input: 14-09-17</t>
  </si>
  <si>
    <t>Style : 7643421-000</t>
  </si>
  <si>
    <t>O Qty: 6122</t>
  </si>
  <si>
    <t>No of mc. 36</t>
  </si>
  <si>
    <t>Style : 7649872-000</t>
  </si>
  <si>
    <t>O Qty: 5900</t>
  </si>
  <si>
    <t>Input: 21-09-17</t>
  </si>
  <si>
    <t>Output close dt.: 03-10-17</t>
  </si>
  <si>
    <t>Style : 7658777-000</t>
  </si>
  <si>
    <t>O Qty: 6400</t>
  </si>
  <si>
    <t>ITEM: girls top(pleat)</t>
  </si>
  <si>
    <t>Line - 12+Unit-03</t>
  </si>
  <si>
    <t xml:space="preserve"> Actual delivery dt. 26-09-17</t>
  </si>
  <si>
    <t>O Qty: 14000(29000)</t>
  </si>
  <si>
    <t xml:space="preserve"> Delivery dt.17-09-17</t>
  </si>
  <si>
    <t>Order Qty: 15000(102000)</t>
  </si>
  <si>
    <t>Style :7652118-000</t>
  </si>
  <si>
    <t>O Qty: 5885</t>
  </si>
  <si>
    <t>Style :7640628-000</t>
  </si>
  <si>
    <t>O Qty: 2036</t>
  </si>
  <si>
    <t>Order Qty: 20000(102000)</t>
  </si>
  <si>
    <t>Order Qty: 7000</t>
  </si>
  <si>
    <t xml:space="preserve"> Delivery dt. 28-09-17</t>
  </si>
  <si>
    <t>Style : 7659795-000</t>
  </si>
  <si>
    <t>O Qty: 13515</t>
  </si>
  <si>
    <t>Style : 7657116-000</t>
  </si>
  <si>
    <t>O Qty: 14716</t>
  </si>
  <si>
    <t>Output close dt.: 19-09-17</t>
  </si>
  <si>
    <t>Style : 7657115-000</t>
  </si>
  <si>
    <t>Input: 19-09-17</t>
  </si>
  <si>
    <t>Style : 7661823-000</t>
  </si>
  <si>
    <t>Style : 7652971-000</t>
  </si>
  <si>
    <t>Style : 7653553-000</t>
  </si>
  <si>
    <t>O Qty: 8879</t>
  </si>
  <si>
    <t>Style : 7666159-000</t>
  </si>
  <si>
    <t>O Qty: 13500</t>
  </si>
  <si>
    <t>O Qty: 17090</t>
  </si>
  <si>
    <t>Style : 7647840-000</t>
  </si>
  <si>
    <t>Style : 7653593-000</t>
  </si>
  <si>
    <t>O Qty: 6377</t>
  </si>
  <si>
    <t>Style : 7658795-000</t>
  </si>
  <si>
    <t>O Qty: 8450</t>
  </si>
  <si>
    <t>Style : NB-2941-01</t>
  </si>
  <si>
    <t>O Qty: 1850</t>
  </si>
  <si>
    <t xml:space="preserve"> Actual delivery dt. 09-10-17</t>
  </si>
  <si>
    <t>Style : NB-79-01</t>
  </si>
  <si>
    <t>O Qty: 3400</t>
  </si>
  <si>
    <t>ITEM: Blanet</t>
  </si>
  <si>
    <t>O Qty: 4700</t>
  </si>
  <si>
    <t>Style : 7661670-000</t>
  </si>
  <si>
    <t>Style : 7640683-000</t>
  </si>
  <si>
    <t>O Qty: 4800</t>
  </si>
  <si>
    <t>O Qty:  25000(110000)</t>
  </si>
  <si>
    <t>Line  - 07+unit-02</t>
  </si>
  <si>
    <t>Style : ECLS18KVISC</t>
  </si>
  <si>
    <t>Order Qty: 8000</t>
  </si>
  <si>
    <t>Per /Hour: 130</t>
  </si>
  <si>
    <t>ITEM:  Ladies night wear</t>
  </si>
  <si>
    <t>Embelishment - woven</t>
  </si>
  <si>
    <t>Day output: 1170</t>
  </si>
  <si>
    <t>Close output: 25-09-17</t>
  </si>
  <si>
    <t>Order Qty:  17000</t>
  </si>
  <si>
    <t>Close output: 13-09-17</t>
  </si>
  <si>
    <t>Order Qty: 14250</t>
  </si>
  <si>
    <t>SDBW17HPPGL (S18)</t>
  </si>
  <si>
    <t>SDBS18HBMAR</t>
  </si>
  <si>
    <t>CELS18TKIMO</t>
  </si>
  <si>
    <t>ABLS18TBMOD</t>
  </si>
  <si>
    <t>JDUS18FCEDG</t>
  </si>
  <si>
    <t>JDUS18FCFAN</t>
  </si>
  <si>
    <t>SDBS18SBRON</t>
  </si>
  <si>
    <t>SDKS18SPCAP</t>
  </si>
  <si>
    <t>TGKS18PPSPO</t>
  </si>
  <si>
    <t>DLLW17GSPOR</t>
  </si>
  <si>
    <t>TGKS18PJEGF</t>
  </si>
  <si>
    <t>18- Sep</t>
  </si>
  <si>
    <t>21- Sep</t>
  </si>
  <si>
    <t>20-09-17</t>
  </si>
  <si>
    <t>25-09-17</t>
  </si>
  <si>
    <t>Out of 113000</t>
  </si>
  <si>
    <t>Out of 102000</t>
  </si>
  <si>
    <t>Out of 29000</t>
  </si>
  <si>
    <t>Out of 48000</t>
  </si>
  <si>
    <t>Total Order Summary of  September'2017</t>
  </si>
  <si>
    <t>delivery dt. 14-08-17</t>
  </si>
  <si>
    <t>Line - 01+SB</t>
  </si>
  <si>
    <t>TIME: 8.00-7.00</t>
  </si>
  <si>
    <t>Style : 32 BULLE G</t>
  </si>
  <si>
    <t>Line - 05+08</t>
  </si>
  <si>
    <t>Line - 05+01</t>
  </si>
  <si>
    <t>Line  - 06+Unit-01</t>
  </si>
  <si>
    <t>Line  - 05+unit-02</t>
  </si>
  <si>
    <t>Line  - 06+SB</t>
  </si>
  <si>
    <t>Line - 0+Unit-01</t>
  </si>
  <si>
    <t>Style : 50 NYPON</t>
  </si>
  <si>
    <t>O Qty: 1870 (Top)</t>
  </si>
  <si>
    <t>O Qty: 20285(114731)</t>
  </si>
  <si>
    <t>Order Qty: 19639</t>
  </si>
  <si>
    <t>Close output : 13-08-17</t>
  </si>
  <si>
    <t>Order Qty: 23893(70706)</t>
  </si>
  <si>
    <t>Order Qty: 23570(70706)</t>
  </si>
  <si>
    <t>O Qty: 900</t>
  </si>
  <si>
    <t>Output close dt.: 14-08-17</t>
  </si>
  <si>
    <t>Repaln at ASP</t>
  </si>
  <si>
    <t>Line C+D</t>
  </si>
  <si>
    <t>Line D+C</t>
  </si>
  <si>
    <t>Line A+Apprl</t>
  </si>
  <si>
    <t>Order Qty: 2000(7000)(TOP)</t>
  </si>
  <si>
    <t>TIME:8.00-8.00</t>
  </si>
  <si>
    <t>Line B+Hold</t>
  </si>
  <si>
    <t>O Qty: 20000(42106)</t>
  </si>
  <si>
    <t>Day output: 1000</t>
  </si>
  <si>
    <t>TIME:8.00-7.00</t>
  </si>
  <si>
    <t>Actual delivery dt.27-08-17</t>
  </si>
  <si>
    <t>Style : HUNNI LS(906)</t>
  </si>
  <si>
    <t>O Qty: 11341</t>
  </si>
  <si>
    <t>Use for Anderson</t>
  </si>
  <si>
    <t>O Qty: 14000(42106)</t>
  </si>
  <si>
    <t>O Qty: 6792+10000(114731)</t>
  </si>
  <si>
    <t>O Qty: 4013+14000(114731)</t>
  </si>
  <si>
    <t>O Qty: 1870 (btm)</t>
  </si>
  <si>
    <t>Input: 09-08-17</t>
  </si>
  <si>
    <t>Line E+Cloth</t>
  </si>
  <si>
    <t>Order Qty: 7580(15160)</t>
  </si>
  <si>
    <t>Line B+Degn</t>
  </si>
  <si>
    <t xml:space="preserve"> Delivery dt. 10-08-17</t>
  </si>
  <si>
    <t>Order Qty: 2500</t>
  </si>
  <si>
    <t>ITEM: SKIRT</t>
  </si>
  <si>
    <t>Buyer: STAFF KIDS</t>
  </si>
  <si>
    <t>Line - 01+06</t>
  </si>
  <si>
    <t>Line - 06+01</t>
  </si>
  <si>
    <t xml:space="preserve"> Actual delivery dt. 18-08-17</t>
  </si>
  <si>
    <t>Order Qty: 2000(7000)(btm)</t>
  </si>
  <si>
    <t>O Qty: 14000(114731)</t>
  </si>
  <si>
    <t>Line - 03+Unit-03</t>
  </si>
  <si>
    <t>Style : ABLS18TBMOD</t>
  </si>
  <si>
    <t>Order Qty: 12000(49000)</t>
  </si>
  <si>
    <t>Close output : 24-08-17</t>
  </si>
  <si>
    <t xml:space="preserve"> Delivery dt. 18-09-17</t>
  </si>
  <si>
    <t>Line - 03+01</t>
  </si>
  <si>
    <t>Order Qty: 4900</t>
  </si>
  <si>
    <t>Order Qty: 7600</t>
  </si>
  <si>
    <t>Close output: 19-08-17</t>
  </si>
  <si>
    <t>O Qty: 25000(105997)</t>
  </si>
  <si>
    <t>Style : R-Neck LS silm(Huafu)(050)</t>
  </si>
  <si>
    <t>Line C+Cloth</t>
  </si>
  <si>
    <t xml:space="preserve"> Actual delivery dt.28-08-17</t>
  </si>
  <si>
    <t>Line - 02+Unit-02</t>
  </si>
  <si>
    <t>Style : EDMW17GPOPI</t>
  </si>
  <si>
    <t>Line A+D</t>
  </si>
  <si>
    <t>Line D+A</t>
  </si>
  <si>
    <t>Output close dt.: 31-08-17</t>
  </si>
  <si>
    <t xml:space="preserve"> Actual delivery dt.16-08-17</t>
  </si>
  <si>
    <t>Line E+Apprl+B</t>
  </si>
  <si>
    <t>Line - 12+9</t>
  </si>
  <si>
    <t>Line - 09+12</t>
  </si>
  <si>
    <t>Close output : 20-08-17</t>
  </si>
  <si>
    <t>Line - 06+Unit-03</t>
  </si>
  <si>
    <t>Day output: 1650</t>
  </si>
  <si>
    <t>Order Qty: 19435</t>
  </si>
  <si>
    <t>O Qty: 3010 / f .n.r</t>
  </si>
  <si>
    <t xml:space="preserve"> Delivery dt.18-08-17</t>
  </si>
  <si>
    <t>O Qty: 5000+2500</t>
  </si>
  <si>
    <t>Close output :16-09-17</t>
  </si>
  <si>
    <t>Line  - 07+01</t>
  </si>
  <si>
    <t>No of mc.26</t>
  </si>
  <si>
    <t>Out of 41000</t>
  </si>
  <si>
    <t>O Qty: 31000(41000)</t>
  </si>
  <si>
    <t>Line E+B</t>
  </si>
  <si>
    <t>Input: 20-8-17</t>
  </si>
  <si>
    <t>Day output: 2200</t>
  </si>
  <si>
    <t>Line  B+E</t>
  </si>
  <si>
    <t>TIME: 8.00-5.00/8.00-8.00</t>
  </si>
  <si>
    <t>Day output: 1600/2200</t>
  </si>
  <si>
    <t>Line C+B</t>
  </si>
  <si>
    <t>Line B+C</t>
  </si>
  <si>
    <t>O Qty: 25584(43584)</t>
  </si>
  <si>
    <t>O Qty: 18000(43584)</t>
  </si>
  <si>
    <t>O Qty: 20000(105997)</t>
  </si>
  <si>
    <t>Output close dt.:20-08-17</t>
  </si>
  <si>
    <t xml:space="preserve"> Actual delivery dt.14-09-17</t>
  </si>
  <si>
    <t>No of mc. 37</t>
  </si>
  <si>
    <t>Line  D</t>
  </si>
  <si>
    <t>Line  D+Hold</t>
  </si>
  <si>
    <t>Line D+F</t>
  </si>
  <si>
    <t>Line F+D</t>
  </si>
  <si>
    <t>Line B+Apprl</t>
  </si>
  <si>
    <t>LKS18HCHAU</t>
  </si>
  <si>
    <t xml:space="preserve">Order Qty: 21000 </t>
  </si>
  <si>
    <t>Day output: 2420</t>
  </si>
  <si>
    <t>O Qty: 30000(105997)</t>
  </si>
  <si>
    <t>Style : R-Neck Basic fit (Long sl)(177)</t>
  </si>
  <si>
    <t>Actual delivery dt.20-08-17</t>
  </si>
  <si>
    <t xml:space="preserve"> Actual delivery dt. 20-08-17</t>
  </si>
  <si>
    <t xml:space="preserve"> Actual delivery dt. 25-09-17</t>
  </si>
  <si>
    <t>Output close dt.:23-08-17</t>
  </si>
  <si>
    <t>Input:23-08-17</t>
  </si>
  <si>
    <t>Day output: 1210</t>
  </si>
  <si>
    <t>Day output: 2000</t>
  </si>
  <si>
    <t>Order Qty: 6000+3000(Btm)</t>
  </si>
  <si>
    <t>Day output: 1100</t>
  </si>
  <si>
    <t>Sewing plan of  October'2017</t>
  </si>
  <si>
    <t>Total Order Summary of  October'2017</t>
  </si>
  <si>
    <t>Order Qty: 9000(TOP)</t>
  </si>
  <si>
    <t>Output close dt.: 22-09-17</t>
  </si>
  <si>
    <t>No of mc.31</t>
  </si>
  <si>
    <t>Close output : 17-08-17</t>
  </si>
  <si>
    <t>Style : SITS17WO2</t>
  </si>
  <si>
    <t>Contract Line</t>
  </si>
  <si>
    <t>Output close dt.:  13-08-17</t>
  </si>
  <si>
    <t>Output close dt.:  23-09-17</t>
  </si>
  <si>
    <t>Order Qty: 15000(79000)</t>
  </si>
  <si>
    <t>Order Qty: 25000(79000)</t>
  </si>
  <si>
    <t>Order Qty: 8000(20405)</t>
  </si>
  <si>
    <t>Order Qty: 12405(20405)</t>
  </si>
  <si>
    <t>Close output : 16-08-17</t>
  </si>
  <si>
    <t>Close output : 10-09-17</t>
  </si>
  <si>
    <t>Close output : 23-08-17</t>
  </si>
  <si>
    <t>No of mc.28</t>
  </si>
  <si>
    <t>Line  - 04+08</t>
  </si>
  <si>
    <t>Use for ANDERSON</t>
  </si>
  <si>
    <t>Order Qty: 24000(79000)</t>
  </si>
  <si>
    <t>Close output: 10-09-17</t>
  </si>
  <si>
    <t>O Qty:  20000(110000)</t>
  </si>
  <si>
    <t>Order Qty: 27000(49000)</t>
  </si>
  <si>
    <t>Order Qty: 10000(49000)</t>
  </si>
  <si>
    <t>Line  - 06+Unit-03</t>
  </si>
  <si>
    <t>Output close dt.: 30-08-17</t>
  </si>
  <si>
    <t>Input: 29-08-17</t>
  </si>
  <si>
    <t>Line - 06+Unit03</t>
  </si>
  <si>
    <t>Close output : 16-09-17</t>
  </si>
  <si>
    <t>Input: 22-09-17</t>
  </si>
  <si>
    <t>Output close dt.: 02-10-17</t>
  </si>
  <si>
    <t>Close output : 11-09-17</t>
  </si>
  <si>
    <t>Input:21-09-17</t>
  </si>
  <si>
    <t>Style : 7645808-001</t>
  </si>
  <si>
    <t>ITEM: sock</t>
  </si>
  <si>
    <t>O Qty: 18204</t>
  </si>
  <si>
    <t>TIME: 8.00-6..00</t>
  </si>
  <si>
    <t>Line  - 06+12</t>
  </si>
  <si>
    <t>Close output : 21-09-17</t>
  </si>
  <si>
    <t>Output close dt.:  24-09-17</t>
  </si>
  <si>
    <t>Close output: 23-09-17</t>
  </si>
  <si>
    <t>Close output: 17-09-17</t>
  </si>
  <si>
    <t>Close output: 01-10-17</t>
  </si>
  <si>
    <t>Close output: 16-09-17</t>
  </si>
  <si>
    <t>Line A+C+D</t>
  </si>
  <si>
    <t>Day output: 1760</t>
  </si>
  <si>
    <t>Output close dt.:  17-09-17</t>
  </si>
  <si>
    <t>O Qty: 22000(38998)</t>
  </si>
  <si>
    <t>O Qty: 16998(38998)</t>
  </si>
  <si>
    <t>Line C+Appl</t>
  </si>
  <si>
    <t>Order Qty: 21000</t>
  </si>
  <si>
    <t>Line D+Degn</t>
  </si>
  <si>
    <t>Style : 76666159-000</t>
  </si>
  <si>
    <t>O Qty: 7175(14350)</t>
  </si>
  <si>
    <t>delivery dt.02-10-17</t>
  </si>
  <si>
    <t>Input: 39-08-17</t>
  </si>
  <si>
    <t>Close output: 21-09-17</t>
  </si>
  <si>
    <t>Close output: 16-08-17</t>
  </si>
  <si>
    <t xml:space="preserve"> Actual delivery dt.31-10-17</t>
  </si>
  <si>
    <t>Actual delivery dt.24-09-17</t>
  </si>
  <si>
    <t>Style : V-Neck silm Fit(huafu-60)</t>
  </si>
  <si>
    <t>Style : 83620</t>
  </si>
  <si>
    <t xml:space="preserve"> delivery dt. 25-09-17</t>
  </si>
  <si>
    <t>ITEM: Baby rumpper</t>
  </si>
  <si>
    <t>Style : 83613</t>
  </si>
  <si>
    <t>O Qty: 12000</t>
  </si>
  <si>
    <t xml:space="preserve"> delivery dt. 08-10-17</t>
  </si>
  <si>
    <t>O Qty: 17142</t>
  </si>
  <si>
    <t xml:space="preserve"> delivery dt. 15-10-17</t>
  </si>
  <si>
    <t>Style : 85510(btm)</t>
  </si>
  <si>
    <t>Output close dt.: 05-10-17</t>
  </si>
  <si>
    <t>Style : 85510(top)</t>
  </si>
  <si>
    <t>Output close dt.: 07-10-17</t>
  </si>
  <si>
    <t>O Qty: 10681</t>
  </si>
  <si>
    <t>Style : 85509(top)</t>
  </si>
  <si>
    <t>Input: 05-10-17</t>
  </si>
  <si>
    <t xml:space="preserve"> delivery dt. 20-10-17</t>
  </si>
  <si>
    <t>Output close dt.: 16-10-17</t>
  </si>
  <si>
    <t>Style : 85509(btm)</t>
  </si>
  <si>
    <t>Input: 04-10-17</t>
  </si>
  <si>
    <t>Output close dt.: 14-10-17</t>
  </si>
  <si>
    <t>Style : 83614</t>
  </si>
  <si>
    <t>O Qty : 6200</t>
  </si>
  <si>
    <t xml:space="preserve"> delivery dt.07-10-17</t>
  </si>
  <si>
    <t xml:space="preserve"> delivery dt.13-10-17</t>
  </si>
  <si>
    <t>Style : 84827</t>
  </si>
  <si>
    <t>O Qty : 10650</t>
  </si>
  <si>
    <t>Style : 85506(top)</t>
  </si>
  <si>
    <t>Line  D+F</t>
  </si>
  <si>
    <t>O Qty: 10604</t>
  </si>
  <si>
    <t>Input: 28-09-17</t>
  </si>
  <si>
    <t>Close output: 30-09-17</t>
  </si>
  <si>
    <t>Output close dt.: 09-10-17</t>
  </si>
  <si>
    <t>Output close dt.: 08-10-17</t>
  </si>
  <si>
    <t>Style : 85507(top)</t>
  </si>
  <si>
    <t>Style : 85507(btm)</t>
  </si>
  <si>
    <t>O Qty: 6160</t>
  </si>
  <si>
    <t>Input: 08-10-17</t>
  </si>
  <si>
    <t>Output close dt.: 15-10-17</t>
  </si>
  <si>
    <t>Style : 85506(btm)</t>
  </si>
  <si>
    <t>Input: 07-10-17</t>
  </si>
  <si>
    <t>Output close dt.: 11-10-17</t>
  </si>
  <si>
    <t>Style : 7640673-000</t>
  </si>
  <si>
    <t>O Qty: 1803</t>
  </si>
  <si>
    <t>ITEM: Baby jacket</t>
  </si>
  <si>
    <t>delivery dt. 16-10-17</t>
  </si>
  <si>
    <t>Input: 02-10-17</t>
  </si>
  <si>
    <t>Style : 7652288-000</t>
  </si>
  <si>
    <t>O Qty: 4500</t>
  </si>
  <si>
    <t>ITEM: Baby hoody tee</t>
  </si>
  <si>
    <t>delivery dt. 23-10-17</t>
  </si>
  <si>
    <t>delivery dt.16-10-17</t>
  </si>
  <si>
    <t>O Qty: 5207+1800</t>
  </si>
  <si>
    <t>Style : 7657570-000(Btm)+001</t>
  </si>
  <si>
    <t>delivery dt.18-09-17+16-10-17</t>
  </si>
  <si>
    <t>Style : 7294146-029</t>
  </si>
  <si>
    <t>Input: 27-09-17</t>
  </si>
  <si>
    <t>Output close dt.: 01-10-17</t>
  </si>
  <si>
    <t>Style : 6959271-056+057</t>
  </si>
  <si>
    <t>O Qty: 5000+1695</t>
  </si>
  <si>
    <t>delivery dt. 09-10-17+16-10</t>
  </si>
  <si>
    <t>Style : 7666814-000+001</t>
  </si>
  <si>
    <t>delivery dt.18-09-17+16-07-17</t>
  </si>
  <si>
    <t>O Qty: 6007+2500</t>
  </si>
  <si>
    <t>Style : 7657544-000+001</t>
  </si>
  <si>
    <t>O Qty: 7204+2500</t>
  </si>
  <si>
    <t>Style : 7653554-000</t>
  </si>
  <si>
    <t>O Qty: 7714</t>
  </si>
  <si>
    <t>delivery dt.23-10-17</t>
  </si>
  <si>
    <t>Style : 7652289-000</t>
  </si>
  <si>
    <t>O Qty: 7278</t>
  </si>
  <si>
    <t>Style : 7656906-000</t>
  </si>
  <si>
    <t>O Qty: 7860</t>
  </si>
  <si>
    <t>Embelishment - AOP</t>
  </si>
  <si>
    <t>Style : 7652290-000</t>
  </si>
  <si>
    <t>O Qty: 7285</t>
  </si>
  <si>
    <t>Input: 03-10-17</t>
  </si>
  <si>
    <t>Output close dt.: 10-10-17</t>
  </si>
  <si>
    <t>Style : 7657567-001</t>
  </si>
  <si>
    <t>O Qty: 2500</t>
  </si>
  <si>
    <t>Input: 10-10-17</t>
  </si>
  <si>
    <t>Output close dt.: 17-10-17</t>
  </si>
  <si>
    <t>Style : SLKS18HJPPX</t>
  </si>
  <si>
    <t xml:space="preserve"> Delivery dt.19-10-17</t>
  </si>
  <si>
    <t>Contract line</t>
  </si>
  <si>
    <t>O Qty: 20000(112386)</t>
  </si>
  <si>
    <t>O Qty: 25000(112386)</t>
  </si>
  <si>
    <t>Line B+F</t>
  </si>
  <si>
    <t>Style : Bror hood</t>
  </si>
  <si>
    <t>Actual delivery dt.16-10-17</t>
  </si>
  <si>
    <t>Output close dt.: 21-10-17</t>
  </si>
  <si>
    <t>Line  A+Degn</t>
  </si>
  <si>
    <t>Output close dt.: 18-10-17</t>
  </si>
  <si>
    <t xml:space="preserve"> Actual delivery dt. 10-10-17</t>
  </si>
  <si>
    <t>O Qty: 9500+2500</t>
  </si>
  <si>
    <t xml:space="preserve"> Actual delivery dt. 10-10-17+20-10-17</t>
  </si>
  <si>
    <t>O Qty: 7500</t>
  </si>
  <si>
    <t xml:space="preserve"> Actual delivery dt.22-10-17</t>
  </si>
  <si>
    <t>Input: 09-10-17</t>
  </si>
  <si>
    <t xml:space="preserve"> Actual delivery dt.25-10-17</t>
  </si>
  <si>
    <t>Input: 16-10-17</t>
  </si>
  <si>
    <t>Output close dt.: 22-10-17</t>
  </si>
  <si>
    <t>Input: 21-10-17</t>
  </si>
  <si>
    <t xml:space="preserve"> Actual delivery dt.30-10-17</t>
  </si>
  <si>
    <t>Output close dt.: 26-10-17</t>
  </si>
  <si>
    <t>Style : 85722</t>
  </si>
  <si>
    <t>Style : 85645</t>
  </si>
  <si>
    <t>O Qty: 24155(44155)</t>
  </si>
  <si>
    <t>Line D+SB</t>
  </si>
  <si>
    <t>O Qty: 11800</t>
  </si>
  <si>
    <t xml:space="preserve"> delivery dt. 01-11-17</t>
  </si>
  <si>
    <t>O Qty: 21969</t>
  </si>
  <si>
    <t>Input: 26-09-17</t>
  </si>
  <si>
    <t>Style : 85532</t>
  </si>
  <si>
    <t>O Qty: 9591</t>
  </si>
  <si>
    <t>Output close dt.: 24-10-17</t>
  </si>
  <si>
    <t>Style : 85530</t>
  </si>
  <si>
    <t>O Qty: 16698</t>
  </si>
  <si>
    <t>Input: 12-10-17</t>
  </si>
  <si>
    <t>Style : 60 FANFARE</t>
  </si>
  <si>
    <t>O Qty: 2590</t>
  </si>
  <si>
    <t xml:space="preserve"> Actual delivery dt.26-10-17</t>
  </si>
  <si>
    <t>Style : 60 FENETRE</t>
  </si>
  <si>
    <t>Style : 60 FLUET</t>
  </si>
  <si>
    <t>O Qty: 930</t>
  </si>
  <si>
    <t>Input: 15-10-17</t>
  </si>
  <si>
    <t>O Qty: 22386(112386)</t>
  </si>
  <si>
    <t>ZANNIER</t>
  </si>
  <si>
    <t>Style : MGMS18PJMOD</t>
  </si>
  <si>
    <t>No of mc. 40</t>
  </si>
  <si>
    <t>ITEM: Long Pant</t>
  </si>
  <si>
    <t>O Qty:  12167(42167)</t>
  </si>
  <si>
    <t>Line C+SB</t>
  </si>
  <si>
    <t>Style : ACS18PCFLE</t>
  </si>
  <si>
    <t>O Qty:  10000(57000)</t>
  </si>
  <si>
    <t xml:space="preserve"> Actual delivery dt. 08-10-17</t>
  </si>
  <si>
    <t xml:space="preserve"> Delivery dt. 20-10-17</t>
  </si>
  <si>
    <t>Order Qty: 16000(36000)</t>
  </si>
  <si>
    <t xml:space="preserve">Order Qty: 6000 </t>
  </si>
  <si>
    <t xml:space="preserve"> Delivery dt.05-10-17</t>
  </si>
  <si>
    <t>Style : COLLEGE X3</t>
  </si>
  <si>
    <t>Buyer: ZANNIER</t>
  </si>
  <si>
    <t>Order Qty: 29232</t>
  </si>
  <si>
    <t>ITEM: wander wear</t>
  </si>
  <si>
    <t>No of mc. 13</t>
  </si>
  <si>
    <t>Close output: 05-10-17</t>
  </si>
  <si>
    <t xml:space="preserve">Style : V-Neck silm Fit </t>
  </si>
  <si>
    <t>O Qty: 20000(100000)</t>
  </si>
  <si>
    <t>Actual delivery dt.10-10-17</t>
  </si>
  <si>
    <t>Style : LFITRON</t>
  </si>
  <si>
    <t>Order Qty: 20370</t>
  </si>
  <si>
    <t xml:space="preserve"> Delivery dt. 12-10-17</t>
  </si>
  <si>
    <t>Close output : 14-10-17</t>
  </si>
  <si>
    <t>Style : DMARCONEW</t>
  </si>
  <si>
    <t>Order Qty: 6260</t>
  </si>
  <si>
    <t>ITEM: Tank-top</t>
  </si>
  <si>
    <t>Style : NEWBLVH</t>
  </si>
  <si>
    <t>Order Qty: 12125</t>
  </si>
  <si>
    <t>No of mc.19</t>
  </si>
  <si>
    <t>Day output: 1530</t>
  </si>
  <si>
    <t>Per /Hour: 170</t>
  </si>
  <si>
    <t xml:space="preserve"> Delivery dt. 30-10-17</t>
  </si>
  <si>
    <t>Close output : 26-10-17</t>
  </si>
  <si>
    <t>Style : TONCALY2</t>
  </si>
  <si>
    <t>Order Qty: 2629</t>
  </si>
  <si>
    <t>Style : 2FORESTDEBF</t>
  </si>
  <si>
    <t>Order Qty: 5735</t>
  </si>
  <si>
    <t>No of mc.21</t>
  </si>
  <si>
    <t>Line F+Akcl</t>
  </si>
  <si>
    <t>Line - 09+Cloth</t>
  </si>
  <si>
    <t xml:space="preserve">Order Qty: 31000(81000) </t>
  </si>
  <si>
    <t>Close output: 02-10-17</t>
  </si>
  <si>
    <t xml:space="preserve">Order Qty: 50000(81000) </t>
  </si>
  <si>
    <t>Style : TGKS18PLSPO</t>
  </si>
  <si>
    <t>Order Qty: 12000</t>
  </si>
  <si>
    <t>ITEM:  Leggings</t>
  </si>
  <si>
    <t xml:space="preserve"> Delivery dt.08-10-17</t>
  </si>
  <si>
    <t>O Qty: 2640 (Inner part)</t>
  </si>
  <si>
    <t>Line - 03+Unit-01</t>
  </si>
  <si>
    <t>O Qty: 2640 (Upper part)</t>
  </si>
  <si>
    <t>O Qty: 10000(16000)</t>
  </si>
  <si>
    <t>O Qty: 6000(16000)</t>
  </si>
  <si>
    <t>O Qty: 1425</t>
  </si>
  <si>
    <t>Close output : 31-08-17</t>
  </si>
  <si>
    <t>Input: 31-08-17</t>
  </si>
  <si>
    <t>Input: 30-09-17</t>
  </si>
  <si>
    <t>Close output : 08-10-17</t>
  </si>
  <si>
    <t>Close output : 12-10-17</t>
  </si>
  <si>
    <t>Close output : 21-10-17</t>
  </si>
  <si>
    <t>Order Qty: 24000</t>
  </si>
  <si>
    <t>Input: 01-10-17</t>
  </si>
  <si>
    <t xml:space="preserve"> Delivery dt.20-10-17</t>
  </si>
  <si>
    <t>Close output: 19-10-17</t>
  </si>
  <si>
    <t>Style : SDBS18HGNEW</t>
  </si>
  <si>
    <t xml:space="preserve"> Actual delivery dt. 11-10-17</t>
  </si>
  <si>
    <t xml:space="preserve"> Actual delivery dt. 15-10-17</t>
  </si>
  <si>
    <t>O Qty: 5500</t>
  </si>
  <si>
    <t>Style : SLKS18SHOOD</t>
  </si>
  <si>
    <t xml:space="preserve"> Actual delivery dt. 22-10-17</t>
  </si>
  <si>
    <t>ITEM: Hoody</t>
  </si>
  <si>
    <t>Output close dt.:  21-10-17</t>
  </si>
  <si>
    <t>O Qty: 24000</t>
  </si>
  <si>
    <t>Style : GEOMETRIK X3</t>
  </si>
  <si>
    <t>Style : ABLS18TMARY</t>
  </si>
  <si>
    <t>O Qty: 22000</t>
  </si>
  <si>
    <t xml:space="preserve"> Actual delivery dt. 14-10-17</t>
  </si>
  <si>
    <t>Embelishment - y/D</t>
  </si>
  <si>
    <t>Output close dt.:14-10-17</t>
  </si>
  <si>
    <t xml:space="preserve">Order Qty: 6500 </t>
  </si>
  <si>
    <t xml:space="preserve"> Delivery dt.14-10-17</t>
  </si>
  <si>
    <t>Close output: 04-10-17</t>
  </si>
  <si>
    <t xml:space="preserve">Order Qty: 2500 </t>
  </si>
  <si>
    <t>O Qty: 10500</t>
  </si>
  <si>
    <t>delivery dt. 19-10-17</t>
  </si>
  <si>
    <t xml:space="preserve"> Delivery dt.30-10-17</t>
  </si>
  <si>
    <t xml:space="preserve"> Actual delivery dt. 26-10-17</t>
  </si>
  <si>
    <t>O Qty: 20000</t>
  </si>
  <si>
    <t>Output close dt.:  24-10-17</t>
  </si>
  <si>
    <t>Close output: 27-09-17</t>
  </si>
  <si>
    <t>Style : GALEC STARS X3</t>
  </si>
  <si>
    <t>Order Qty: 30000(42528)</t>
  </si>
  <si>
    <t>Close output: 09-10-17</t>
  </si>
  <si>
    <t>Line - 09+10</t>
  </si>
  <si>
    <t>Line - 10+09</t>
  </si>
  <si>
    <t>Order Qty: 12528(42528)</t>
  </si>
  <si>
    <t>Style : NSLS18TALLA</t>
  </si>
  <si>
    <t>O Qty:  15300</t>
  </si>
  <si>
    <t xml:space="preserve"> Actual delivery dt. 24-10-17</t>
  </si>
  <si>
    <t>Order Qty: 4500</t>
  </si>
  <si>
    <t>Close output: 18-10-17</t>
  </si>
  <si>
    <t>Output close dt.: 04-10-17</t>
  </si>
  <si>
    <t>Embelishment - wov/ fab</t>
  </si>
  <si>
    <t>Order Qty: 14000</t>
  </si>
  <si>
    <t>Close output: 22-10-17</t>
  </si>
  <si>
    <t>Style : NSLW17TELOD</t>
  </si>
  <si>
    <t>O Qty: 16550(Upper part)</t>
  </si>
  <si>
    <t xml:space="preserve"> Actual delivery dt. 16-10-17</t>
  </si>
  <si>
    <t>Output close dt.:  16-10-17</t>
  </si>
  <si>
    <t>O Qty: 16550(Inner part)</t>
  </si>
  <si>
    <t>No of mc.15</t>
  </si>
  <si>
    <t>Output close dt.:  12-10-17</t>
  </si>
  <si>
    <t>Line  - 03+02</t>
  </si>
  <si>
    <t>O Qty: 10408</t>
  </si>
  <si>
    <t>ITEM: Ladies</t>
  </si>
  <si>
    <t>Style : CELS18GTGIG</t>
  </si>
  <si>
    <t>Output close dt.:  08-10-17</t>
  </si>
  <si>
    <t>Style : EDMS18GPOIL</t>
  </si>
  <si>
    <t>Order Qty: 24800</t>
  </si>
  <si>
    <t>ITEM:  mens tee</t>
  </si>
  <si>
    <t>Order Qty: 20000</t>
  </si>
  <si>
    <t xml:space="preserve"> Delivery dt.24-10-17</t>
  </si>
  <si>
    <t>Close output: 26-10-17</t>
  </si>
  <si>
    <t>Style : ABLS18TMARI</t>
  </si>
  <si>
    <t>No of mc.29</t>
  </si>
  <si>
    <t>Input: 06-10-17</t>
  </si>
  <si>
    <t>Style : CELS18GTBAV</t>
  </si>
  <si>
    <t xml:space="preserve"> Delivery dt.23-10-17</t>
  </si>
  <si>
    <t>ITEM:  T-shirt</t>
  </si>
  <si>
    <t>Order Qty: 22000</t>
  </si>
  <si>
    <t>Close output : 25-10-17</t>
  </si>
  <si>
    <t xml:space="preserve"> Delivery dt. 23-10-17</t>
  </si>
  <si>
    <t xml:space="preserve">Order Qty: 4500 </t>
  </si>
  <si>
    <t>ITEM:  Ladies Ttee</t>
  </si>
  <si>
    <t>Style : JDUS18FCFAN</t>
  </si>
  <si>
    <t>ITEM: Night wear</t>
  </si>
  <si>
    <t>O Qty: 17000</t>
  </si>
  <si>
    <t>Output close dt.:  18-10-17</t>
  </si>
  <si>
    <t>Line B+A</t>
  </si>
  <si>
    <t>Output close dt.: 23-10-17</t>
  </si>
  <si>
    <t>Style : SDBS18HBECU</t>
  </si>
  <si>
    <t>Input:23-09-17</t>
  </si>
  <si>
    <t>Style : SDBS18HGNE1</t>
  </si>
  <si>
    <t>Style : SDBS18HBNE1</t>
  </si>
  <si>
    <t>Style : ECLW17EMAT1(BTM)</t>
  </si>
  <si>
    <t>ITEM:  Ladies Trouser</t>
  </si>
  <si>
    <t>Close output: 14-10-17</t>
  </si>
  <si>
    <t>Input: 14-10-17</t>
  </si>
  <si>
    <t>Style : CELS18TKIMO</t>
  </si>
  <si>
    <t>O Qty: 11500</t>
  </si>
  <si>
    <t>ITEM: Basic hoody</t>
  </si>
  <si>
    <t>Style : JBMS18TPOIL</t>
  </si>
  <si>
    <t>O Qty: 9000</t>
  </si>
  <si>
    <t>ITEM: Mens tee</t>
  </si>
  <si>
    <t>Output close dt.:  22-10-17</t>
  </si>
  <si>
    <t>Style : ACKS18SCBE1</t>
  </si>
  <si>
    <t>delivery dt. 10-10-17</t>
  </si>
  <si>
    <t>O Qty:15000(60000)</t>
  </si>
  <si>
    <t>Line - 08+Unit-01</t>
  </si>
  <si>
    <t>Style : CABS18QBIAS</t>
  </si>
  <si>
    <t>Order Qty: 13800</t>
  </si>
  <si>
    <t>ITEM: Babies trouser</t>
  </si>
  <si>
    <t>Close output : 04-10-17</t>
  </si>
  <si>
    <t xml:space="preserve"> Delivery dt. 10-10-17</t>
  </si>
  <si>
    <t xml:space="preserve"> Actual delivery dt. 25-10-17</t>
  </si>
  <si>
    <t xml:space="preserve"> Actual delivery dt. 30-10-17</t>
  </si>
  <si>
    <t xml:space="preserve"> Actual delivery dt.23-10-17</t>
  </si>
  <si>
    <t>Output close dt.: 25-10-17</t>
  </si>
  <si>
    <t>SDBS18HGDO3</t>
  </si>
  <si>
    <t>HVKS18HRETP</t>
  </si>
  <si>
    <t>SDBS18HBTIG</t>
  </si>
  <si>
    <t>SDBS18VBRAY</t>
  </si>
  <si>
    <t>JBMS18MLPIQ</t>
  </si>
  <si>
    <t>JDUS18FCJER</t>
  </si>
  <si>
    <t>ACKS18PCFLE</t>
  </si>
  <si>
    <t>SDBS18SBMAR</t>
  </si>
  <si>
    <t>CABS18QBBES</t>
  </si>
  <si>
    <t>ACKS18SCBE1</t>
  </si>
  <si>
    <t>MGMS18PJMOD</t>
  </si>
  <si>
    <t>08-10-2017</t>
  </si>
  <si>
    <t>11/10/17</t>
  </si>
  <si>
    <t>13/10/17</t>
  </si>
  <si>
    <t>05- Oct</t>
  </si>
  <si>
    <t>22-10-17</t>
  </si>
  <si>
    <t>25-10-17</t>
  </si>
  <si>
    <t>8/10/2017</t>
  </si>
  <si>
    <t>6/10/2017</t>
  </si>
  <si>
    <t>10/10/2017</t>
  </si>
  <si>
    <t>20/10/2017</t>
  </si>
  <si>
    <t>25/10/2017</t>
  </si>
  <si>
    <t>Out of 57000</t>
  </si>
  <si>
    <t>Out of 36000</t>
  </si>
  <si>
    <t>Out of 42167</t>
  </si>
  <si>
    <t>Line - 07+Unit-03</t>
  </si>
  <si>
    <t>O Qty:10000(60000)</t>
  </si>
  <si>
    <t>Line F+Degn</t>
  </si>
  <si>
    <t>O Qty: 20000(44155)</t>
  </si>
  <si>
    <t>Input: 23-08</t>
  </si>
  <si>
    <t>Output close dt.: 09-09-17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</si>
</sst>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164" formatCode="[$-409]dd\-mmm\-yy;@"/>
    <numFmt numFmtId="165" formatCode="[$-409]d\-mmm\-yy;@"/>
    <numFmt numFmtId="166" formatCode="[$-409]d\-mmm;@"/>
    <numFmt numFmtId="167" formatCode="#,###&quot; Pcs&quot;"/>
  </numFmts>
  <fonts count="103" x14ac:knownFonts="1">
    <font>
      <sz val="11"/>
      <color theme="1"/>
      <name val="Calibri"/>
      <family val="2"/>
      <scheme val="minor"/>
    </font>
    <font>
      <i/>
      <sz val="9"/>
      <color theme="1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theme="4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theme="1"/>
      <name val="Arial"/>
      <family val="2"/>
    </font>
    <font>
      <b/>
      <i/>
      <sz val="9"/>
      <color rgb="FFFF0000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i/>
      <sz val="9"/>
      <color rgb="FF002060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i/>
      <sz val="9"/>
      <color rgb="FFC00000"/>
      <name val="Calibri"/>
      <family val="2"/>
      <scheme val="minor"/>
    </font>
    <font>
      <i/>
      <sz val="8"/>
      <color theme="1"/>
      <name val="Arial"/>
      <family val="2"/>
    </font>
    <font>
      <sz val="9"/>
      <color rgb="FF002060"/>
      <name val="Calibri"/>
      <family val="2"/>
      <scheme val="minor"/>
    </font>
    <font>
      <i/>
      <sz val="9"/>
      <color rgb="FF002060"/>
      <name val="Arial"/>
      <family val="2"/>
    </font>
    <font>
      <sz val="9"/>
      <name val="Arial"/>
      <family val="2"/>
    </font>
    <font>
      <sz val="9"/>
      <color rgb="FFC00000"/>
      <name val="Calibri"/>
      <family val="2"/>
      <scheme val="minor"/>
    </font>
    <font>
      <i/>
      <sz val="9"/>
      <name val="Arial"/>
      <family val="2"/>
    </font>
    <font>
      <b/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mbria"/>
      <family val="1"/>
      <scheme val="major"/>
    </font>
    <font>
      <sz val="9"/>
      <name val="Cambria"/>
      <family val="1"/>
      <scheme val="major"/>
    </font>
    <font>
      <b/>
      <sz val="9"/>
      <color theme="1"/>
      <name val="Calibri"/>
      <family val="2"/>
      <scheme val="minor"/>
    </font>
    <font>
      <b/>
      <i/>
      <sz val="9"/>
      <color theme="1"/>
      <name val="Arial"/>
      <family val="2"/>
    </font>
    <font>
      <i/>
      <sz val="8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color theme="0" tint="-4.9989318521683403E-2"/>
      <name val="Calibri"/>
      <family val="2"/>
      <scheme val="minor"/>
    </font>
    <font>
      <i/>
      <sz val="10"/>
      <color rgb="FF002060"/>
      <name val="Calibri"/>
      <family val="2"/>
      <scheme val="minor"/>
    </font>
    <font>
      <i/>
      <sz val="11"/>
      <color rgb="FF002060"/>
      <name val="Calibri"/>
      <family val="2"/>
      <scheme val="minor"/>
    </font>
    <font>
      <b/>
      <i/>
      <sz val="10"/>
      <color rgb="FF002060"/>
      <name val="Calibri"/>
      <family val="2"/>
      <scheme val="minor"/>
    </font>
    <font>
      <sz val="10"/>
      <name val="Arial"/>
      <family val="2"/>
    </font>
    <font>
      <i/>
      <sz val="9"/>
      <color theme="0"/>
      <name val="Arial"/>
      <family val="2"/>
    </font>
    <font>
      <sz val="9"/>
      <color theme="1"/>
      <name val="Arial"/>
      <family val="2"/>
    </font>
    <font>
      <b/>
      <i/>
      <sz val="8"/>
      <color rgb="FFC00000"/>
      <name val="Calibri"/>
      <family val="2"/>
      <scheme val="minor"/>
    </font>
    <font>
      <i/>
      <sz val="10"/>
      <name val="Cambria"/>
      <family val="1"/>
    </font>
    <font>
      <sz val="10"/>
      <color theme="1"/>
      <name val="Arial"/>
      <family val="2"/>
    </font>
    <font>
      <i/>
      <sz val="10"/>
      <name val="Arial"/>
      <family val="2"/>
    </font>
    <font>
      <b/>
      <i/>
      <sz val="9"/>
      <name val="Arial"/>
      <family val="2"/>
    </font>
    <font>
      <sz val="10"/>
      <name val="Cambria"/>
      <family val="1"/>
    </font>
    <font>
      <b/>
      <i/>
      <sz val="14"/>
      <name val="Arial"/>
      <family val="2"/>
    </font>
    <font>
      <b/>
      <i/>
      <u/>
      <sz val="11"/>
      <name val="Arial"/>
      <family val="2"/>
    </font>
    <font>
      <b/>
      <i/>
      <u/>
      <sz val="9"/>
      <name val="Arial"/>
      <family val="2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i/>
      <sz val="10"/>
      <name val="Arial"/>
      <family val="2"/>
    </font>
    <font>
      <b/>
      <i/>
      <u/>
      <sz val="10"/>
      <name val="Arial"/>
      <family val="2"/>
    </font>
    <font>
      <sz val="11"/>
      <name val="Arial"/>
      <family val="2"/>
    </font>
    <font>
      <i/>
      <sz val="9"/>
      <color rgb="FFFF0000"/>
      <name val="Calibri"/>
      <family val="2"/>
      <scheme val="minor"/>
    </font>
    <font>
      <b/>
      <i/>
      <sz val="10"/>
      <color theme="3" tint="-0.249977111117893"/>
      <name val="Calibri"/>
      <family val="2"/>
      <scheme val="minor"/>
    </font>
    <font>
      <i/>
      <sz val="10"/>
      <color theme="3" tint="-0.249977111117893"/>
      <name val="Calibri"/>
      <family val="2"/>
      <scheme val="minor"/>
    </font>
    <font>
      <sz val="11"/>
      <name val="Calibri"/>
      <family val="2"/>
      <scheme val="minor"/>
    </font>
    <font>
      <b/>
      <i/>
      <sz val="10"/>
      <color theme="1"/>
      <name val="Arial"/>
      <family val="2"/>
    </font>
    <font>
      <b/>
      <i/>
      <sz val="10"/>
      <name val="Calibri"/>
      <family val="2"/>
      <scheme val="minor"/>
    </font>
    <font>
      <i/>
      <sz val="9"/>
      <name val="Calibri"/>
      <family val="2"/>
      <scheme val="minor"/>
    </font>
    <font>
      <i/>
      <sz val="8"/>
      <name val="Arial"/>
      <family val="2"/>
    </font>
    <font>
      <b/>
      <i/>
      <sz val="12"/>
      <name val="Cambria"/>
      <family val="1"/>
      <scheme val="major"/>
    </font>
    <font>
      <i/>
      <sz val="12"/>
      <name val="Cambria"/>
      <family val="1"/>
      <scheme val="major"/>
    </font>
    <font>
      <sz val="12"/>
      <name val="Calibri"/>
      <family val="2"/>
      <scheme val="minor"/>
    </font>
    <font>
      <b/>
      <i/>
      <sz val="9"/>
      <name val="Cambria"/>
      <family val="1"/>
      <scheme val="major"/>
    </font>
    <font>
      <b/>
      <i/>
      <sz val="11"/>
      <name val="Cambria"/>
      <family val="1"/>
      <scheme val="major"/>
    </font>
    <font>
      <i/>
      <sz val="9"/>
      <name val="Cambria"/>
      <family val="1"/>
      <scheme val="major"/>
    </font>
    <font>
      <i/>
      <sz val="9"/>
      <color rgb="FF1C0963"/>
      <name val="Calibri"/>
      <family val="2"/>
      <scheme val="minor"/>
    </font>
    <font>
      <b/>
      <i/>
      <sz val="9"/>
      <color rgb="FF1C0963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i/>
      <sz val="9"/>
      <color theme="3" tint="-0.249977111117893"/>
      <name val="Calibri"/>
      <family val="2"/>
      <scheme val="minor"/>
    </font>
    <font>
      <b/>
      <i/>
      <sz val="10"/>
      <name val="Cambria"/>
      <family val="1"/>
      <scheme val="major"/>
    </font>
    <font>
      <b/>
      <i/>
      <sz val="11"/>
      <color theme="3" tint="-0.249977111117893"/>
      <name val="Calibri"/>
      <family val="2"/>
      <scheme val="minor"/>
    </font>
    <font>
      <i/>
      <sz val="14"/>
      <color rgb="FF002060"/>
      <name val="Calibri"/>
      <family val="2"/>
      <scheme val="minor"/>
    </font>
    <font>
      <i/>
      <sz val="9"/>
      <color theme="3" tint="-0.249977111117893"/>
      <name val="Arial"/>
      <family val="2"/>
    </font>
    <font>
      <i/>
      <sz val="11"/>
      <color theme="3" tint="-0.249977111117893"/>
      <name val="Calibri"/>
      <family val="2"/>
      <scheme val="minor"/>
    </font>
    <font>
      <b/>
      <i/>
      <sz val="12"/>
      <color rgb="FF002060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  <font>
      <b/>
      <i/>
      <sz val="12"/>
      <color theme="3" tint="-0.249977111117893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b/>
      <sz val="10"/>
      <name val="Calibri"/>
      <family val="2"/>
      <scheme val="minor"/>
    </font>
    <font>
      <sz val="10"/>
      <name val="Bookman Old Style"/>
      <family val="1"/>
    </font>
    <font>
      <i/>
      <sz val="12"/>
      <color rgb="FF00206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C000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3" tint="-0.249977111117893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9"/>
      <color rgb="FFFF5050"/>
      <name val="Arial"/>
      <family val="2"/>
    </font>
    <font>
      <sz val="12"/>
      <color rgb="FF1F497D"/>
      <name val="Calibri"/>
      <family val="2"/>
      <scheme val="minor"/>
    </font>
    <font>
      <b/>
      <sz val="11"/>
      <color rgb="FF1F497D"/>
      <name val="Calibri"/>
      <family val="2"/>
      <scheme val="minor"/>
    </font>
    <font>
      <sz val="11"/>
      <color rgb="FF1F497D"/>
      <name val="Calibri"/>
      <family val="2"/>
      <scheme val="minor"/>
    </font>
    <font>
      <i/>
      <sz val="9"/>
      <color rgb="FFFF0000"/>
      <name val="Arial"/>
      <family val="2"/>
    </font>
    <font>
      <sz val="1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23" fillId="0" borderId="0" applyFont="0" applyFill="0" applyBorder="0" applyAlignment="0" applyProtection="0"/>
    <xf numFmtId="0" fontId="35" fillId="0" borderId="0"/>
  </cellStyleXfs>
  <cellXfs count="822">
    <xf numFmtId="0" fontId="0" fillId="0" borderId="0" xfId="0"/>
    <xf numFmtId="0" fontId="0" fillId="2" borderId="0" xfId="0" applyFill="1"/>
    <xf numFmtId="0" fontId="0" fillId="2" borderId="0" xfId="0" applyFill="1" applyBorder="1"/>
    <xf numFmtId="0" fontId="0" fillId="0" borderId="0" xfId="0" applyBorder="1"/>
    <xf numFmtId="0" fontId="0" fillId="2" borderId="0" xfId="0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0" borderId="0" xfId="0" applyFont="1"/>
    <xf numFmtId="0" fontId="7" fillId="2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7" fillId="2" borderId="0" xfId="0" applyFont="1" applyFill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7" fillId="0" borderId="1" xfId="0" applyFont="1" applyBorder="1"/>
    <xf numFmtId="0" fontId="3" fillId="0" borderId="1" xfId="0" applyFont="1" applyBorder="1"/>
    <xf numFmtId="0" fontId="3" fillId="2" borderId="0" xfId="0" applyFont="1" applyFill="1"/>
    <xf numFmtId="167" fontId="16" fillId="2" borderId="6" xfId="0" applyNumberFormat="1" applyFont="1" applyFill="1" applyBorder="1" applyAlignment="1">
      <alignment horizontal="center" vertical="center" wrapText="1"/>
    </xf>
    <xf numFmtId="1" fontId="13" fillId="2" borderId="1" xfId="0" applyNumberFormat="1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1" fontId="1" fillId="2" borderId="6" xfId="0" applyNumberFormat="1" applyFont="1" applyFill="1" applyBorder="1" applyAlignment="1">
      <alignment horizontal="center" vertical="center" wrapText="1"/>
    </xf>
    <xf numFmtId="166" fontId="1" fillId="2" borderId="6" xfId="0" quotePrefix="1" applyNumberFormat="1" applyFont="1" applyFill="1" applyBorder="1" applyAlignment="1">
      <alignment horizontal="center" vertical="center" wrapText="1"/>
    </xf>
    <xf numFmtId="167" fontId="1" fillId="2" borderId="6" xfId="0" applyNumberFormat="1" applyFont="1" applyFill="1" applyBorder="1" applyAlignment="1">
      <alignment horizontal="center" vertical="center" wrapText="1"/>
    </xf>
    <xf numFmtId="1" fontId="15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166" fontId="19" fillId="2" borderId="6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20" fillId="2" borderId="1" xfId="0" applyFont="1" applyFill="1" applyBorder="1" applyAlignment="1">
      <alignment wrapText="1"/>
    </xf>
    <xf numFmtId="1" fontId="14" fillId="2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9" fillId="2" borderId="1" xfId="0" applyFont="1" applyFill="1" applyBorder="1" applyAlignment="1">
      <alignment horizontal="center" vertical="center" wrapText="1"/>
    </xf>
    <xf numFmtId="1" fontId="19" fillId="2" borderId="1" xfId="0" applyNumberFormat="1" applyFont="1" applyFill="1" applyBorder="1" applyAlignment="1">
      <alignment horizontal="center" vertical="center" wrapText="1"/>
    </xf>
    <xf numFmtId="1" fontId="18" fillId="2" borderId="7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1" fontId="1" fillId="0" borderId="6" xfId="0" applyNumberFormat="1" applyFont="1" applyFill="1" applyBorder="1" applyAlignment="1">
      <alignment horizontal="center" vertical="center" wrapText="1"/>
    </xf>
    <xf numFmtId="166" fontId="1" fillId="0" borderId="6" xfId="0" quotePrefix="1" applyNumberFormat="1" applyFont="1" applyFill="1" applyBorder="1" applyAlignment="1">
      <alignment horizontal="center" vertical="center" wrapText="1"/>
    </xf>
    <xf numFmtId="167" fontId="1" fillId="0" borderId="6" xfId="0" applyNumberFormat="1" applyFont="1" applyFill="1" applyBorder="1" applyAlignment="1">
      <alignment horizontal="center" vertical="center" wrapText="1"/>
    </xf>
    <xf numFmtId="1" fontId="18" fillId="0" borderId="6" xfId="0" applyNumberFormat="1" applyFont="1" applyFill="1" applyBorder="1" applyAlignment="1">
      <alignment horizontal="center" vertical="center" wrapText="1"/>
    </xf>
    <xf numFmtId="1" fontId="15" fillId="2" borderId="3" xfId="0" applyNumberFormat="1" applyFont="1" applyFill="1" applyBorder="1" applyAlignment="1">
      <alignment horizontal="center" vertical="center"/>
    </xf>
    <xf numFmtId="167" fontId="1" fillId="0" borderId="1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/>
    </xf>
    <xf numFmtId="0" fontId="3" fillId="0" borderId="0" xfId="0" applyFont="1" applyBorder="1"/>
    <xf numFmtId="1" fontId="14" fillId="2" borderId="0" xfId="0" applyNumberFormat="1" applyFont="1" applyFill="1" applyBorder="1" applyAlignment="1">
      <alignment horizontal="center" vertical="center"/>
    </xf>
    <xf numFmtId="0" fontId="18" fillId="2" borderId="6" xfId="0" applyNumberFormat="1" applyFont="1" applyFill="1" applyBorder="1" applyAlignment="1">
      <alignment horizontal="center" vertical="center" wrapText="1"/>
    </xf>
    <xf numFmtId="0" fontId="18" fillId="2" borderId="7" xfId="0" applyNumberFormat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" fontId="3" fillId="0" borderId="1" xfId="0" applyNumberFormat="1" applyFont="1" applyBorder="1"/>
    <xf numFmtId="1" fontId="7" fillId="2" borderId="1" xfId="0" applyNumberFormat="1" applyFont="1" applyFill="1" applyBorder="1" applyAlignment="1">
      <alignment horizontal="center" vertical="center"/>
    </xf>
    <xf numFmtId="166" fontId="1" fillId="2" borderId="7" xfId="0" quotePrefix="1" applyNumberFormat="1" applyFont="1" applyFill="1" applyBorder="1" applyAlignment="1">
      <alignment horizontal="center" vertical="center" wrapText="1"/>
    </xf>
    <xf numFmtId="167" fontId="1" fillId="2" borderId="7" xfId="0" applyNumberFormat="1" applyFont="1" applyFill="1" applyBorder="1" applyAlignment="1">
      <alignment horizontal="center" vertical="center" wrapText="1"/>
    </xf>
    <xf numFmtId="1" fontId="1" fillId="2" borderId="8" xfId="0" applyNumberFormat="1" applyFont="1" applyFill="1" applyBorder="1" applyAlignment="1">
      <alignment horizontal="center" vertical="center" wrapText="1"/>
    </xf>
    <xf numFmtId="166" fontId="1" fillId="2" borderId="8" xfId="0" quotePrefix="1" applyNumberFormat="1" applyFont="1" applyFill="1" applyBorder="1" applyAlignment="1">
      <alignment horizontal="center" vertical="center" wrapText="1"/>
    </xf>
    <xf numFmtId="167" fontId="1" fillId="2" borderId="8" xfId="0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 wrapText="1"/>
    </xf>
    <xf numFmtId="1" fontId="19" fillId="2" borderId="3" xfId="0" applyNumberFormat="1" applyFont="1" applyFill="1" applyBorder="1" applyAlignment="1">
      <alignment horizontal="center" vertical="center" wrapText="1"/>
    </xf>
    <xf numFmtId="166" fontId="19" fillId="2" borderId="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66" fontId="1" fillId="2" borderId="1" xfId="0" quotePrefix="1" applyNumberFormat="1" applyFont="1" applyFill="1" applyBorder="1" applyAlignment="1">
      <alignment horizontal="center" vertical="center" wrapText="1"/>
    </xf>
    <xf numFmtId="0" fontId="18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/>
    <xf numFmtId="0" fontId="20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vertical="center"/>
    </xf>
    <xf numFmtId="167" fontId="1" fillId="0" borderId="7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7" fillId="0" borderId="3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25" fillId="2" borderId="9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1" fontId="1" fillId="0" borderId="8" xfId="0" applyNumberFormat="1" applyFont="1" applyFill="1" applyBorder="1" applyAlignment="1">
      <alignment horizontal="center" vertical="center" wrapText="1"/>
    </xf>
    <xf numFmtId="166" fontId="1" fillId="0" borderId="8" xfId="0" quotePrefix="1" applyNumberFormat="1" applyFont="1" applyFill="1" applyBorder="1" applyAlignment="1">
      <alignment horizontal="center" vertical="center" wrapText="1"/>
    </xf>
    <xf numFmtId="167" fontId="1" fillId="0" borderId="8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1" fontId="26" fillId="2" borderId="1" xfId="0" applyNumberFormat="1" applyFont="1" applyFill="1" applyBorder="1" applyAlignment="1">
      <alignment horizontal="center" vertical="center"/>
    </xf>
    <xf numFmtId="1" fontId="27" fillId="2" borderId="11" xfId="0" applyNumberFormat="1" applyFont="1" applyFill="1" applyBorder="1" applyAlignment="1">
      <alignment horizontal="center" vertical="center" wrapText="1"/>
    </xf>
    <xf numFmtId="1" fontId="27" fillId="2" borderId="6" xfId="0" applyNumberFormat="1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/>
    </xf>
    <xf numFmtId="44" fontId="5" fillId="2" borderId="1" xfId="1" applyFont="1" applyFill="1" applyBorder="1" applyAlignment="1">
      <alignment horizontal="center" vertical="center"/>
    </xf>
    <xf numFmtId="1" fontId="30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167" fontId="16" fillId="2" borderId="8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" fontId="3" fillId="2" borderId="1" xfId="0" applyNumberFormat="1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1" fontId="10" fillId="2" borderId="6" xfId="0" applyNumberFormat="1" applyFont="1" applyFill="1" applyBorder="1" applyAlignment="1">
      <alignment horizontal="center" vertical="center" wrapText="1"/>
    </xf>
    <xf numFmtId="1" fontId="33" fillId="2" borderId="1" xfId="0" applyNumberFormat="1" applyFont="1" applyFill="1" applyBorder="1" applyAlignment="1">
      <alignment horizontal="center" vertical="center"/>
    </xf>
    <xf numFmtId="1" fontId="34" fillId="2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 wrapText="1"/>
    </xf>
    <xf numFmtId="1" fontId="35" fillId="2" borderId="1" xfId="0" applyNumberFormat="1" applyFont="1" applyFill="1" applyBorder="1" applyAlignment="1">
      <alignment horizontal="center" vertical="center" wrapText="1"/>
    </xf>
    <xf numFmtId="166" fontId="35" fillId="2" borderId="6" xfId="0" applyNumberFormat="1" applyFont="1" applyFill="1" applyBorder="1" applyAlignment="1">
      <alignment horizontal="center" vertical="center" wrapText="1"/>
    </xf>
    <xf numFmtId="15" fontId="38" fillId="2" borderId="2" xfId="0" applyNumberFormat="1" applyFont="1" applyFill="1" applyBorder="1" applyAlignment="1">
      <alignment horizontal="center" vertical="center"/>
    </xf>
    <xf numFmtId="16" fontId="7" fillId="2" borderId="1" xfId="0" applyNumberFormat="1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 wrapText="1"/>
    </xf>
    <xf numFmtId="1" fontId="19" fillId="2" borderId="0" xfId="0" applyNumberFormat="1" applyFont="1" applyFill="1" applyBorder="1" applyAlignment="1">
      <alignment horizontal="center" vertical="center" wrapText="1"/>
    </xf>
    <xf numFmtId="166" fontId="19" fillId="2" borderId="0" xfId="0" applyNumberFormat="1" applyFont="1" applyFill="1" applyBorder="1" applyAlignment="1">
      <alignment horizontal="center" vertical="center" wrapText="1"/>
    </xf>
    <xf numFmtId="1" fontId="12" fillId="2" borderId="0" xfId="0" applyNumberFormat="1" applyFont="1" applyFill="1" applyBorder="1" applyAlignment="1">
      <alignment horizontal="center" vertical="center"/>
    </xf>
    <xf numFmtId="167" fontId="36" fillId="2" borderId="1" xfId="0" applyNumberFormat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1" fontId="13" fillId="2" borderId="0" xfId="0" applyNumberFormat="1" applyFont="1" applyFill="1" applyBorder="1" applyAlignment="1">
      <alignment horizontal="center" vertical="center"/>
    </xf>
    <xf numFmtId="1" fontId="15" fillId="2" borderId="0" xfId="0" applyNumberFormat="1" applyFont="1" applyFill="1" applyBorder="1" applyAlignment="1">
      <alignment horizontal="center" vertical="center"/>
    </xf>
    <xf numFmtId="167" fontId="9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0" xfId="0" applyFont="1" applyBorder="1"/>
    <xf numFmtId="0" fontId="15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/>
    </xf>
    <xf numFmtId="1" fontId="17" fillId="0" borderId="0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165" fontId="15" fillId="2" borderId="1" xfId="0" applyNumberFormat="1" applyFont="1" applyFill="1" applyBorder="1" applyAlignment="1">
      <alignment horizontal="center" vertical="center"/>
    </xf>
    <xf numFmtId="166" fontId="19" fillId="2" borderId="1" xfId="0" applyNumberFormat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vertical="center"/>
    </xf>
    <xf numFmtId="0" fontId="37" fillId="2" borderId="1" xfId="0" applyFont="1" applyFill="1" applyBorder="1" applyAlignment="1">
      <alignment horizontal="center" vertical="center" wrapText="1"/>
    </xf>
    <xf numFmtId="1" fontId="40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/>
    </xf>
    <xf numFmtId="0" fontId="3" fillId="2" borderId="5" xfId="0" applyFont="1" applyFill="1" applyBorder="1" applyAlignment="1">
      <alignment vertical="center"/>
    </xf>
    <xf numFmtId="165" fontId="15" fillId="2" borderId="5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" xfId="0" applyFont="1" applyFill="1" applyBorder="1"/>
    <xf numFmtId="0" fontId="20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6" fontId="0" fillId="2" borderId="1" xfId="0" applyNumberFormat="1" applyFont="1" applyFill="1" applyBorder="1" applyAlignment="1">
      <alignment horizontal="center"/>
    </xf>
    <xf numFmtId="1" fontId="0" fillId="2" borderId="1" xfId="0" applyNumberFormat="1" applyFont="1" applyFill="1" applyBorder="1" applyAlignment="1">
      <alignment horizontal="center"/>
    </xf>
    <xf numFmtId="167" fontId="7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/>
    </xf>
    <xf numFmtId="1" fontId="1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67" fontId="7" fillId="3" borderId="1" xfId="0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wrapText="1"/>
    </xf>
    <xf numFmtId="0" fontId="12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vertical="center"/>
    </xf>
    <xf numFmtId="0" fontId="45" fillId="2" borderId="2" xfId="0" applyFont="1" applyFill="1" applyBorder="1" applyAlignment="1">
      <alignment vertical="center"/>
    </xf>
    <xf numFmtId="0" fontId="46" fillId="2" borderId="2" xfId="0" applyFont="1" applyFill="1" applyBorder="1" applyAlignment="1">
      <alignment horizontal="center" vertical="center"/>
    </xf>
    <xf numFmtId="0" fontId="47" fillId="2" borderId="0" xfId="0" applyFont="1" applyFill="1" applyAlignment="1">
      <alignment vertical="center"/>
    </xf>
    <xf numFmtId="0" fontId="45" fillId="2" borderId="0" xfId="0" applyFont="1" applyFill="1" applyBorder="1" applyAlignment="1">
      <alignment vertical="center"/>
    </xf>
    <xf numFmtId="0" fontId="46" fillId="2" borderId="0" xfId="0" applyFont="1" applyFill="1" applyBorder="1" applyAlignment="1">
      <alignment vertical="center"/>
    </xf>
    <xf numFmtId="0" fontId="46" fillId="2" borderId="0" xfId="0" applyFont="1" applyFill="1" applyBorder="1" applyAlignment="1">
      <alignment horizontal="center" vertical="center"/>
    </xf>
    <xf numFmtId="0" fontId="47" fillId="2" borderId="0" xfId="0" applyFont="1" applyFill="1"/>
    <xf numFmtId="0" fontId="48" fillId="2" borderId="0" xfId="0" applyFont="1" applyFill="1"/>
    <xf numFmtId="0" fontId="48" fillId="2" borderId="0" xfId="0" applyFont="1" applyFill="1" applyAlignment="1">
      <alignment horizontal="center"/>
    </xf>
    <xf numFmtId="0" fontId="12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4" fillId="2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horizontal="center" vertical="center"/>
    </xf>
    <xf numFmtId="0" fontId="50" fillId="2" borderId="2" xfId="0" applyFont="1" applyFill="1" applyBorder="1" applyAlignment="1">
      <alignment vertical="center"/>
    </xf>
    <xf numFmtId="0" fontId="51" fillId="2" borderId="2" xfId="0" applyFont="1" applyFill="1" applyBorder="1" applyAlignment="1">
      <alignment vertical="center"/>
    </xf>
    <xf numFmtId="0" fontId="51" fillId="2" borderId="1" xfId="0" applyFont="1" applyFill="1" applyBorder="1" applyAlignment="1">
      <alignment vertical="center"/>
    </xf>
    <xf numFmtId="0" fontId="52" fillId="2" borderId="0" xfId="0" applyFont="1" applyFill="1" applyAlignment="1">
      <alignment vertical="center"/>
    </xf>
    <xf numFmtId="0" fontId="52" fillId="2" borderId="0" xfId="0" applyFont="1" applyFill="1" applyBorder="1" applyAlignment="1">
      <alignment vertical="center"/>
    </xf>
    <xf numFmtId="0" fontId="52" fillId="2" borderId="0" xfId="0" applyFont="1" applyFill="1"/>
    <xf numFmtId="0" fontId="52" fillId="2" borderId="0" xfId="0" applyFont="1" applyFill="1" applyBorder="1"/>
    <xf numFmtId="0" fontId="21" fillId="2" borderId="5" xfId="0" applyFont="1" applyFill="1" applyBorder="1" applyAlignment="1">
      <alignment vertical="center" wrapText="1"/>
    </xf>
    <xf numFmtId="0" fontId="21" fillId="2" borderId="0" xfId="0" applyFont="1" applyFill="1"/>
    <xf numFmtId="0" fontId="52" fillId="2" borderId="2" xfId="0" applyFont="1" applyFill="1" applyBorder="1" applyAlignment="1">
      <alignment vertical="center"/>
    </xf>
    <xf numFmtId="0" fontId="50" fillId="2" borderId="0" xfId="0" applyFont="1" applyFill="1" applyBorder="1" applyAlignment="1">
      <alignment vertical="center"/>
    </xf>
    <xf numFmtId="0" fontId="51" fillId="2" borderId="0" xfId="0" applyFont="1" applyFill="1" applyBorder="1" applyAlignment="1">
      <alignment vertical="center"/>
    </xf>
    <xf numFmtId="0" fontId="42" fillId="2" borderId="4" xfId="0" applyFont="1" applyFill="1" applyBorder="1" applyAlignment="1">
      <alignment vertical="center"/>
    </xf>
    <xf numFmtId="0" fontId="46" fillId="2" borderId="12" xfId="0" applyFont="1" applyFill="1" applyBorder="1" applyAlignment="1">
      <alignment vertical="center"/>
    </xf>
    <xf numFmtId="0" fontId="42" fillId="2" borderId="12" xfId="0" applyFont="1" applyFill="1" applyBorder="1" applyAlignment="1">
      <alignment vertical="center"/>
    </xf>
    <xf numFmtId="0" fontId="46" fillId="2" borderId="5" xfId="0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0" fontId="21" fillId="2" borderId="5" xfId="0" applyFont="1" applyFill="1" applyBorder="1" applyAlignment="1">
      <alignment horizontal="center" vertical="center"/>
    </xf>
    <xf numFmtId="0" fontId="21" fillId="2" borderId="0" xfId="0" applyFont="1" applyFill="1" applyAlignment="1">
      <alignment vertical="center"/>
    </xf>
    <xf numFmtId="0" fontId="21" fillId="2" borderId="10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vertical="center"/>
    </xf>
    <xf numFmtId="0" fontId="21" fillId="2" borderId="0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vertical="center"/>
    </xf>
    <xf numFmtId="0" fontId="42" fillId="2" borderId="0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vertical="center"/>
    </xf>
    <xf numFmtId="0" fontId="19" fillId="2" borderId="5" xfId="0" applyFont="1" applyFill="1" applyBorder="1" applyAlignment="1">
      <alignment vertical="center"/>
    </xf>
    <xf numFmtId="1" fontId="53" fillId="2" borderId="1" xfId="0" applyNumberFormat="1" applyFont="1" applyFill="1" applyBorder="1" applyAlignment="1">
      <alignment horizontal="center" vertical="center"/>
    </xf>
    <xf numFmtId="0" fontId="53" fillId="2" borderId="1" xfId="0" applyFont="1" applyFill="1" applyBorder="1" applyAlignment="1">
      <alignment horizontal="center" vertical="center"/>
    </xf>
    <xf numFmtId="0" fontId="55" fillId="0" borderId="1" xfId="0" applyFont="1" applyBorder="1" applyAlignment="1">
      <alignment horizontal="center"/>
    </xf>
    <xf numFmtId="16" fontId="55" fillId="0" borderId="1" xfId="0" applyNumberFormat="1" applyFont="1" applyBorder="1" applyAlignment="1">
      <alignment horizontal="center"/>
    </xf>
    <xf numFmtId="0" fontId="54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57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41" fillId="2" borderId="2" xfId="0" applyFont="1" applyFill="1" applyBorder="1" applyAlignment="1">
      <alignment vertical="center"/>
    </xf>
    <xf numFmtId="0" fontId="62" fillId="0" borderId="0" xfId="0" applyFont="1" applyFill="1" applyAlignment="1">
      <alignment horizontal="center" vertical="center"/>
    </xf>
    <xf numFmtId="0" fontId="63" fillId="0" borderId="0" xfId="0" applyFont="1" applyFill="1" applyAlignment="1">
      <alignment horizontal="center" vertical="center"/>
    </xf>
    <xf numFmtId="0" fontId="56" fillId="0" borderId="0" xfId="0" applyFont="1" applyFill="1" applyAlignment="1">
      <alignment vertical="center"/>
    </xf>
    <xf numFmtId="0" fontId="53" fillId="0" borderId="1" xfId="0" applyFont="1" applyBorder="1"/>
    <xf numFmtId="1" fontId="67" fillId="2" borderId="1" xfId="0" applyNumberFormat="1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center"/>
    </xf>
    <xf numFmtId="0" fontId="0" fillId="0" borderId="2" xfId="0" applyBorder="1"/>
    <xf numFmtId="0" fontId="12" fillId="2" borderId="1" xfId="0" applyFont="1" applyFill="1" applyBorder="1" applyAlignment="1">
      <alignment horizontal="center" vertical="center"/>
    </xf>
    <xf numFmtId="0" fontId="54" fillId="0" borderId="1" xfId="0" applyFont="1" applyBorder="1" applyAlignment="1">
      <alignment horizontal="center"/>
    </xf>
    <xf numFmtId="0" fontId="47" fillId="2" borderId="0" xfId="0" applyFont="1" applyFill="1" applyBorder="1"/>
    <xf numFmtId="16" fontId="55" fillId="2" borderId="1" xfId="0" applyNumberFormat="1" applyFont="1" applyFill="1" applyBorder="1" applyAlignment="1">
      <alignment horizontal="center"/>
    </xf>
    <xf numFmtId="16" fontId="54" fillId="2" borderId="1" xfId="0" applyNumberFormat="1" applyFont="1" applyFill="1" applyBorder="1" applyAlignment="1">
      <alignment horizontal="center"/>
    </xf>
    <xf numFmtId="0" fontId="59" fillId="0" borderId="1" xfId="0" applyFont="1" applyBorder="1" applyAlignment="1">
      <alignment horizontal="right"/>
    </xf>
    <xf numFmtId="0" fontId="21" fillId="2" borderId="4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1" fontId="13" fillId="2" borderId="1" xfId="0" applyNumberFormat="1" applyFont="1" applyFill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/>
    <xf numFmtId="0" fontId="0" fillId="0" borderId="1" xfId="0" applyBorder="1"/>
    <xf numFmtId="0" fontId="3" fillId="2" borderId="1" xfId="0" applyFont="1" applyFill="1" applyBorder="1"/>
    <xf numFmtId="0" fontId="7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15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right"/>
    </xf>
    <xf numFmtId="0" fontId="70" fillId="2" borderId="1" xfId="0" applyFont="1" applyFill="1" applyBorder="1" applyAlignment="1">
      <alignment horizontal="center"/>
    </xf>
    <xf numFmtId="0" fontId="0" fillId="0" borderId="0" xfId="0"/>
    <xf numFmtId="0" fontId="0" fillId="2" borderId="0" xfId="0" applyFill="1"/>
    <xf numFmtId="0" fontId="1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1" fontId="13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43" fillId="2" borderId="1" xfId="0" applyFont="1" applyFill="1" applyBorder="1"/>
    <xf numFmtId="0" fontId="19" fillId="2" borderId="1" xfId="0" applyFont="1" applyFill="1" applyBorder="1" applyAlignment="1">
      <alignment vertical="center"/>
    </xf>
    <xf numFmtId="0" fontId="48" fillId="2" borderId="1" xfId="0" applyFont="1" applyFill="1" applyBorder="1"/>
    <xf numFmtId="0" fontId="47" fillId="2" borderId="1" xfId="0" applyFont="1" applyFill="1" applyBorder="1"/>
    <xf numFmtId="0" fontId="49" fillId="2" borderId="1" xfId="0" applyFont="1" applyFill="1" applyBorder="1"/>
    <xf numFmtId="0" fontId="42" fillId="2" borderId="1" xfId="0" applyFont="1" applyFill="1" applyBorder="1" applyAlignment="1">
      <alignment horizontal="center"/>
    </xf>
    <xf numFmtId="0" fontId="52" fillId="2" borderId="1" xfId="0" applyFont="1" applyFill="1" applyBorder="1"/>
    <xf numFmtId="0" fontId="42" fillId="2" borderId="1" xfId="0" applyFont="1" applyFill="1" applyBorder="1" applyAlignment="1">
      <alignment horizontal="center" vertical="center"/>
    </xf>
    <xf numFmtId="0" fontId="55" fillId="0" borderId="1" xfId="0" applyFont="1" applyBorder="1" applyAlignment="1">
      <alignment horizontal="center"/>
    </xf>
    <xf numFmtId="16" fontId="55" fillId="0" borderId="1" xfId="0" applyNumberFormat="1" applyFont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54" fillId="0" borderId="1" xfId="0" applyFont="1" applyBorder="1" applyAlignment="1">
      <alignment horizontal="center"/>
    </xf>
    <xf numFmtId="0" fontId="0" fillId="0" borderId="1" xfId="0" applyBorder="1"/>
    <xf numFmtId="0" fontId="41" fillId="2" borderId="1" xfId="0" applyFont="1" applyFill="1" applyBorder="1" applyAlignment="1">
      <alignment vertical="center" wrapText="1"/>
    </xf>
    <xf numFmtId="0" fontId="41" fillId="2" borderId="1" xfId="0" applyFont="1" applyFill="1" applyBorder="1" applyAlignment="1">
      <alignment horizontal="center"/>
    </xf>
    <xf numFmtId="0" fontId="58" fillId="2" borderId="1" xfId="0" applyFont="1" applyFill="1" applyBorder="1" applyAlignment="1">
      <alignment horizontal="center"/>
    </xf>
    <xf numFmtId="0" fontId="35" fillId="2" borderId="1" xfId="0" applyFont="1" applyFill="1" applyBorder="1"/>
    <xf numFmtId="0" fontId="50" fillId="2" borderId="1" xfId="0" applyFont="1" applyFill="1" applyBorder="1" applyAlignment="1">
      <alignment horizontal="center"/>
    </xf>
    <xf numFmtId="0" fontId="40" fillId="2" borderId="1" xfId="0" applyFont="1" applyFill="1" applyBorder="1"/>
    <xf numFmtId="0" fontId="0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21" fillId="2" borderId="1" xfId="0" applyFont="1" applyFill="1" applyBorder="1" applyAlignment="1">
      <alignment vertical="center" wrapText="1"/>
    </xf>
    <xf numFmtId="0" fontId="21" fillId="2" borderId="1" xfId="0" applyFont="1" applyFill="1" applyBorder="1" applyAlignment="1">
      <alignment vertical="center"/>
    </xf>
    <xf numFmtId="0" fontId="21" fillId="2" borderId="1" xfId="0" applyFont="1" applyFill="1" applyBorder="1"/>
    <xf numFmtId="0" fontId="39" fillId="2" borderId="1" xfId="0" applyFont="1" applyFill="1" applyBorder="1"/>
    <xf numFmtId="0" fontId="41" fillId="2" borderId="1" xfId="0" applyFont="1" applyFill="1" applyBorder="1"/>
    <xf numFmtId="0" fontId="41" fillId="2" borderId="1" xfId="0" applyFont="1" applyFill="1" applyBorder="1" applyAlignment="1">
      <alignment wrapText="1"/>
    </xf>
    <xf numFmtId="0" fontId="21" fillId="2" borderId="1" xfId="0" applyFont="1" applyFill="1" applyBorder="1" applyAlignment="1">
      <alignment wrapText="1"/>
    </xf>
    <xf numFmtId="0" fontId="64" fillId="2" borderId="1" xfId="0" applyFont="1" applyFill="1" applyBorder="1" applyAlignment="1">
      <alignment horizontal="center" vertical="center"/>
    </xf>
    <xf numFmtId="0" fontId="56" fillId="2" borderId="1" xfId="0" applyFont="1" applyFill="1" applyBorder="1" applyAlignment="1">
      <alignment vertical="center"/>
    </xf>
    <xf numFmtId="0" fontId="66" fillId="2" borderId="1" xfId="0" applyFont="1" applyFill="1" applyBorder="1" applyAlignment="1">
      <alignment horizontal="center" vertical="center"/>
    </xf>
    <xf numFmtId="0" fontId="66" fillId="2" borderId="15" xfId="0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54" fillId="0" borderId="1" xfId="0" applyFont="1" applyBorder="1" applyAlignment="1">
      <alignment horizontal="center"/>
    </xf>
    <xf numFmtId="0" fontId="55" fillId="0" borderId="0" xfId="0" applyFont="1" applyBorder="1" applyAlignment="1">
      <alignment horizontal="center"/>
    </xf>
    <xf numFmtId="16" fontId="55" fillId="0" borderId="0" xfId="0" applyNumberFormat="1" applyFont="1" applyBorder="1" applyAlignment="1">
      <alignment horizontal="center"/>
    </xf>
    <xf numFmtId="0" fontId="54" fillId="0" borderId="0" xfId="0" applyFont="1" applyBorder="1" applyAlignment="1">
      <alignment horizontal="center"/>
    </xf>
    <xf numFmtId="0" fontId="12" fillId="2" borderId="0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54" fillId="0" borderId="1" xfId="0" applyFont="1" applyBorder="1" applyAlignment="1">
      <alignment horizontal="center"/>
    </xf>
    <xf numFmtId="0" fontId="68" fillId="0" borderId="1" xfId="0" applyFont="1" applyBorder="1" applyAlignment="1">
      <alignment horizontal="center" vertical="center"/>
    </xf>
    <xf numFmtId="0" fontId="12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 wrapText="1"/>
    </xf>
    <xf numFmtId="0" fontId="68" fillId="0" borderId="0" xfId="0" applyFont="1" applyBorder="1" applyAlignment="1">
      <alignment vertical="center"/>
    </xf>
    <xf numFmtId="0" fontId="7" fillId="0" borderId="0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59" fillId="0" borderId="0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15" fillId="0" borderId="0" xfId="0" applyFont="1" applyBorder="1" applyAlignment="1">
      <alignment horizontal="right" vertical="center"/>
    </xf>
    <xf numFmtId="1" fontId="3" fillId="0" borderId="0" xfId="0" applyNumberFormat="1" applyFont="1" applyBorder="1"/>
    <xf numFmtId="0" fontId="72" fillId="0" borderId="1" xfId="0" applyFont="1" applyBorder="1" applyAlignment="1">
      <alignment horizontal="center"/>
    </xf>
    <xf numFmtId="0" fontId="55" fillId="2" borderId="0" xfId="0" applyFont="1" applyFill="1" applyBorder="1" applyAlignment="1">
      <alignment horizontal="center"/>
    </xf>
    <xf numFmtId="0" fontId="70" fillId="2" borderId="0" xfId="0" applyFont="1" applyFill="1" applyBorder="1" applyAlignment="1">
      <alignment horizontal="center"/>
    </xf>
    <xf numFmtId="16" fontId="55" fillId="2" borderId="0" xfId="0" applyNumberFormat="1" applyFont="1" applyFill="1" applyBorder="1" applyAlignment="1">
      <alignment horizontal="center"/>
    </xf>
    <xf numFmtId="16" fontId="54" fillId="2" borderId="0" xfId="0" applyNumberFormat="1" applyFont="1" applyFill="1" applyBorder="1" applyAlignment="1">
      <alignment horizontal="center"/>
    </xf>
    <xf numFmtId="0" fontId="21" fillId="2" borderId="15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69" fillId="0" borderId="0" xfId="0" applyFont="1" applyBorder="1" applyAlignment="1">
      <alignment wrapText="1"/>
    </xf>
    <xf numFmtId="1" fontId="53" fillId="2" borderId="0" xfId="0" applyNumberFormat="1" applyFont="1" applyFill="1" applyBorder="1" applyAlignment="1">
      <alignment horizontal="center" vertical="center"/>
    </xf>
    <xf numFmtId="0" fontId="53" fillId="0" borderId="0" xfId="0" applyFont="1" applyBorder="1"/>
    <xf numFmtId="1" fontId="67" fillId="2" borderId="0" xfId="0" applyNumberFormat="1" applyFont="1" applyFill="1" applyBorder="1" applyAlignment="1">
      <alignment horizontal="center" vertical="center"/>
    </xf>
    <xf numFmtId="0" fontId="53" fillId="2" borderId="0" xfId="0" applyFont="1" applyFill="1" applyBorder="1" applyAlignment="1">
      <alignment horizontal="center" vertical="center"/>
    </xf>
    <xf numFmtId="0" fontId="54" fillId="0" borderId="0" xfId="0" applyFont="1" applyBorder="1" applyAlignment="1"/>
    <xf numFmtId="0" fontId="13" fillId="2" borderId="1" xfId="0" applyFont="1" applyFill="1" applyBorder="1" applyAlignment="1">
      <alignment vertical="center"/>
    </xf>
    <xf numFmtId="0" fontId="73" fillId="2" borderId="1" xfId="0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7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55" fillId="0" borderId="1" xfId="0" applyFont="1" applyBorder="1" applyAlignment="1">
      <alignment vertical="center"/>
    </xf>
    <xf numFmtId="16" fontId="55" fillId="0" borderId="1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74" fillId="0" borderId="1" xfId="0" applyFont="1" applyBorder="1" applyAlignment="1">
      <alignment horizontal="center" vertical="center"/>
    </xf>
    <xf numFmtId="0" fontId="74" fillId="2" borderId="1" xfId="0" applyFont="1" applyFill="1" applyBorder="1" applyAlignment="1">
      <alignment horizontal="center" vertical="center"/>
    </xf>
    <xf numFmtId="0" fontId="74" fillId="2" borderId="1" xfId="0" applyFont="1" applyFill="1" applyBorder="1" applyAlignment="1">
      <alignment horizontal="center"/>
    </xf>
    <xf numFmtId="0" fontId="74" fillId="0" borderId="1" xfId="0" applyFont="1" applyBorder="1" applyAlignment="1">
      <alignment horizontal="center"/>
    </xf>
    <xf numFmtId="0" fontId="60" fillId="2" borderId="1" xfId="0" applyFont="1" applyFill="1" applyBorder="1" applyAlignment="1">
      <alignment wrapText="1"/>
    </xf>
    <xf numFmtId="0" fontId="71" fillId="2" borderId="1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54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54" fillId="0" borderId="1" xfId="0" applyFont="1" applyBorder="1" applyAlignment="1">
      <alignment horizontal="center"/>
    </xf>
    <xf numFmtId="0" fontId="65" fillId="2" borderId="1" xfId="0" applyFont="1" applyFill="1" applyBorder="1" applyAlignment="1">
      <alignment horizontal="center" vertical="center"/>
    </xf>
    <xf numFmtId="0" fontId="54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65" fillId="0" borderId="9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55" fillId="6" borderId="1" xfId="0" applyFont="1" applyFill="1" applyBorder="1" applyAlignment="1">
      <alignment horizontal="center"/>
    </xf>
    <xf numFmtId="0" fontId="54" fillId="0" borderId="1" xfId="0" applyFont="1" applyBorder="1" applyAlignment="1">
      <alignment horizontal="center"/>
    </xf>
    <xf numFmtId="0" fontId="55" fillId="5" borderId="1" xfId="0" applyFont="1" applyFill="1" applyBorder="1" applyAlignment="1">
      <alignment horizontal="center"/>
    </xf>
    <xf numFmtId="16" fontId="55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54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65" fillId="2" borderId="9" xfId="0" applyFont="1" applyFill="1" applyBorder="1" applyAlignment="1">
      <alignment horizontal="center" vertical="center"/>
    </xf>
    <xf numFmtId="0" fontId="71" fillId="2" borderId="3" xfId="0" applyFont="1" applyFill="1" applyBorder="1" applyAlignment="1">
      <alignment horizontal="center" vertical="center"/>
    </xf>
    <xf numFmtId="0" fontId="42" fillId="2" borderId="5" xfId="0" applyFont="1" applyFill="1" applyBorder="1" applyAlignment="1">
      <alignment horizontal="center" vertical="center"/>
    </xf>
    <xf numFmtId="0" fontId="42" fillId="2" borderId="4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54" fillId="0" borderId="1" xfId="0" applyFont="1" applyBorder="1" applyAlignment="1">
      <alignment horizontal="center"/>
    </xf>
    <xf numFmtId="0" fontId="54" fillId="0" borderId="0" xfId="0" applyFont="1" applyBorder="1" applyAlignment="1">
      <alignment horizontal="center"/>
    </xf>
    <xf numFmtId="0" fontId="72" fillId="0" borderId="0" xfId="0" applyFont="1" applyBorder="1" applyAlignment="1">
      <alignment horizontal="center"/>
    </xf>
    <xf numFmtId="0" fontId="41" fillId="2" borderId="3" xfId="0" applyFont="1" applyFill="1" applyBorder="1"/>
    <xf numFmtId="0" fontId="0" fillId="2" borderId="3" xfId="0" applyFill="1" applyBorder="1"/>
    <xf numFmtId="0" fontId="60" fillId="2" borderId="5" xfId="0" applyFont="1" applyFill="1" applyBorder="1" applyAlignment="1">
      <alignment wrapText="1"/>
    </xf>
    <xf numFmtId="0" fontId="41" fillId="2" borderId="5" xfId="0" applyFont="1" applyFill="1" applyBorder="1" applyAlignment="1">
      <alignment wrapText="1"/>
    </xf>
    <xf numFmtId="0" fontId="39" fillId="2" borderId="5" xfId="0" applyFont="1" applyFill="1" applyBorder="1"/>
    <xf numFmtId="0" fontId="41" fillId="2" borderId="5" xfId="0" applyFont="1" applyFill="1" applyBorder="1"/>
    <xf numFmtId="0" fontId="21" fillId="2" borderId="5" xfId="0" applyFont="1" applyFill="1" applyBorder="1" applyAlignment="1">
      <alignment wrapText="1"/>
    </xf>
    <xf numFmtId="0" fontId="64" fillId="2" borderId="5" xfId="0" applyFont="1" applyFill="1" applyBorder="1" applyAlignment="1">
      <alignment horizontal="center" vertical="center"/>
    </xf>
    <xf numFmtId="0" fontId="66" fillId="2" borderId="5" xfId="0" applyFont="1" applyFill="1" applyBorder="1" applyAlignment="1">
      <alignment horizontal="center" vertical="center"/>
    </xf>
    <xf numFmtId="0" fontId="41" fillId="2" borderId="2" xfId="0" applyFont="1" applyFill="1" applyBorder="1" applyAlignment="1">
      <alignment horizontal="left" vertical="center"/>
    </xf>
    <xf numFmtId="0" fontId="54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55" fillId="7" borderId="1" xfId="0" applyFont="1" applyFill="1" applyBorder="1" applyAlignment="1">
      <alignment horizontal="center"/>
    </xf>
    <xf numFmtId="16" fontId="55" fillId="7" borderId="1" xfId="0" applyNumberFormat="1" applyFont="1" applyFill="1" applyBorder="1" applyAlignment="1">
      <alignment horizontal="center"/>
    </xf>
    <xf numFmtId="0" fontId="54" fillId="0" borderId="1" xfId="0" applyFont="1" applyBorder="1" applyAlignment="1">
      <alignment horizontal="center"/>
    </xf>
    <xf numFmtId="0" fontId="54" fillId="0" borderId="0" xfId="0" applyFont="1" applyBorder="1" applyAlignment="1">
      <alignment horizontal="center"/>
    </xf>
    <xf numFmtId="0" fontId="55" fillId="8" borderId="1" xfId="0" applyFont="1" applyFill="1" applyBorder="1" applyAlignment="1">
      <alignment horizontal="center"/>
    </xf>
    <xf numFmtId="16" fontId="55" fillId="8" borderId="1" xfId="0" applyNumberFormat="1" applyFont="1" applyFill="1" applyBorder="1" applyAlignment="1">
      <alignment horizontal="center"/>
    </xf>
    <xf numFmtId="0" fontId="55" fillId="9" borderId="1" xfId="0" applyFont="1" applyFill="1" applyBorder="1" applyAlignment="1">
      <alignment horizontal="center"/>
    </xf>
    <xf numFmtId="16" fontId="55" fillId="9" borderId="1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" fontId="55" fillId="6" borderId="1" xfId="0" applyNumberFormat="1" applyFont="1" applyFill="1" applyBorder="1" applyAlignment="1">
      <alignment horizontal="center"/>
    </xf>
    <xf numFmtId="0" fontId="21" fillId="9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/>
    </xf>
    <xf numFmtId="0" fontId="54" fillId="0" borderId="1" xfId="0" applyFont="1" applyBorder="1" applyAlignment="1">
      <alignment horizontal="center"/>
    </xf>
    <xf numFmtId="0" fontId="54" fillId="0" borderId="0" xfId="0" applyFont="1" applyBorder="1" applyAlignment="1">
      <alignment horizontal="center"/>
    </xf>
    <xf numFmtId="0" fontId="21" fillId="9" borderId="1" xfId="0" applyFont="1" applyFill="1" applyBorder="1" applyAlignment="1">
      <alignment vertical="center"/>
    </xf>
    <xf numFmtId="0" fontId="71" fillId="2" borderId="5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54" fillId="0" borderId="0" xfId="0" applyFont="1" applyBorder="1" applyAlignment="1">
      <alignment horizontal="center"/>
    </xf>
    <xf numFmtId="0" fontId="21" fillId="6" borderId="1" xfId="0" applyFont="1" applyFill="1" applyBorder="1" applyAlignment="1">
      <alignment vertical="center" wrapText="1"/>
    </xf>
    <xf numFmtId="0" fontId="21" fillId="6" borderId="1" xfId="0" applyFont="1" applyFill="1" applyBorder="1" applyAlignment="1">
      <alignment vertical="center"/>
    </xf>
    <xf numFmtId="0" fontId="54" fillId="2" borderId="1" xfId="0" applyFont="1" applyFill="1" applyBorder="1" applyAlignment="1">
      <alignment horizontal="center"/>
    </xf>
    <xf numFmtId="0" fontId="54" fillId="2" borderId="0" xfId="0" applyFont="1" applyFill="1" applyBorder="1" applyAlignment="1">
      <alignment horizontal="center"/>
    </xf>
    <xf numFmtId="0" fontId="54" fillId="0" borderId="0" xfId="0" applyFont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54" fillId="2" borderId="1" xfId="0" applyFont="1" applyFill="1" applyBorder="1" applyAlignment="1">
      <alignment horizontal="center"/>
    </xf>
    <xf numFmtId="0" fontId="54" fillId="0" borderId="0" xfId="0" applyFont="1" applyBorder="1" applyAlignment="1">
      <alignment horizontal="center"/>
    </xf>
    <xf numFmtId="0" fontId="54" fillId="2" borderId="0" xfId="0" applyFont="1" applyFill="1" applyBorder="1" applyAlignment="1">
      <alignment horizontal="center"/>
    </xf>
    <xf numFmtId="0" fontId="54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54" fillId="0" borderId="0" xfId="0" applyFont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54" fillId="2" borderId="1" xfId="0" applyFont="1" applyFill="1" applyBorder="1" applyAlignment="1">
      <alignment horizontal="center"/>
    </xf>
    <xf numFmtId="0" fontId="54" fillId="0" borderId="0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54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54" fillId="0" borderId="0" xfId="0" applyFont="1" applyBorder="1" applyAlignment="1">
      <alignment horizontal="center"/>
    </xf>
    <xf numFmtId="0" fontId="54" fillId="0" borderId="0" xfId="0" applyFont="1" applyBorder="1" applyAlignment="1">
      <alignment horizontal="center"/>
    </xf>
    <xf numFmtId="0" fontId="75" fillId="2" borderId="1" xfId="0" applyFont="1" applyFill="1" applyBorder="1" applyAlignment="1">
      <alignment horizontal="center"/>
    </xf>
    <xf numFmtId="0" fontId="54" fillId="2" borderId="0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54" fillId="2" borderId="0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54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54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54" fillId="2" borderId="1" xfId="0" applyFont="1" applyFill="1" applyBorder="1" applyAlignment="1">
      <alignment horizontal="center"/>
    </xf>
    <xf numFmtId="0" fontId="54" fillId="2" borderId="0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54" fillId="2" borderId="1" xfId="0" applyFont="1" applyFill="1" applyBorder="1" applyAlignment="1">
      <alignment horizontal="center"/>
    </xf>
    <xf numFmtId="0" fontId="54" fillId="2" borderId="1" xfId="0" applyFont="1" applyFill="1" applyBorder="1" applyAlignment="1"/>
    <xf numFmtId="16" fontId="0" fillId="2" borderId="1" xfId="0" applyNumberFormat="1" applyFill="1" applyBorder="1" applyAlignment="1">
      <alignment horizontal="center"/>
    </xf>
    <xf numFmtId="0" fontId="54" fillId="2" borderId="9" xfId="0" applyFont="1" applyFill="1" applyBorder="1" applyAlignment="1">
      <alignment horizontal="center"/>
    </xf>
    <xf numFmtId="16" fontId="54" fillId="2" borderId="9" xfId="0" applyNumberFormat="1" applyFont="1" applyFill="1" applyBorder="1" applyAlignment="1">
      <alignment horizontal="center"/>
    </xf>
    <xf numFmtId="0" fontId="72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54" fillId="2" borderId="0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54" fillId="2" borderId="0" xfId="0" applyFont="1" applyFill="1" applyBorder="1" applyAlignment="1">
      <alignment horizontal="center"/>
    </xf>
    <xf numFmtId="0" fontId="54" fillId="2" borderId="1" xfId="0" applyFont="1" applyFill="1" applyBorder="1" applyAlignment="1">
      <alignment horizontal="center"/>
    </xf>
    <xf numFmtId="0" fontId="54" fillId="2" borderId="0" xfId="0" applyFont="1" applyFill="1" applyBorder="1" applyAlignment="1">
      <alignment horizontal="center"/>
    </xf>
    <xf numFmtId="0" fontId="77" fillId="0" borderId="1" xfId="0" applyFont="1" applyFill="1" applyBorder="1" applyAlignment="1">
      <alignment horizontal="center" vertical="center" wrapText="1"/>
    </xf>
    <xf numFmtId="0" fontId="78" fillId="0" borderId="0" xfId="0" applyFont="1" applyAlignment="1">
      <alignment horizontal="center" vertical="center"/>
    </xf>
    <xf numFmtId="0" fontId="77" fillId="0" borderId="1" xfId="2" applyFont="1" applyFill="1" applyBorder="1" applyAlignment="1">
      <alignment horizontal="center" vertical="center" wrapText="1"/>
    </xf>
    <xf numFmtId="0" fontId="55" fillId="2" borderId="9" xfId="0" applyFont="1" applyFill="1" applyBorder="1" applyAlignment="1">
      <alignment horizontal="center"/>
    </xf>
    <xf numFmtId="0" fontId="54" fillId="2" borderId="9" xfId="0" applyFont="1" applyFill="1" applyBorder="1" applyAlignment="1"/>
    <xf numFmtId="0" fontId="54" fillId="2" borderId="0" xfId="0" applyFont="1" applyFill="1" applyBorder="1" applyAlignment="1"/>
    <xf numFmtId="0" fontId="79" fillId="2" borderId="1" xfId="0" applyFont="1" applyFill="1" applyBorder="1" applyAlignment="1">
      <alignment horizontal="center" vertical="center"/>
    </xf>
    <xf numFmtId="16" fontId="79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54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54" fillId="2" borderId="0" xfId="0" applyFont="1" applyFill="1" applyBorder="1" applyAlignment="1">
      <alignment horizontal="center"/>
    </xf>
    <xf numFmtId="0" fontId="54" fillId="2" borderId="1" xfId="0" applyFont="1" applyFill="1" applyBorder="1" applyAlignment="1">
      <alignment horizontal="center"/>
    </xf>
    <xf numFmtId="0" fontId="54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54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54" fillId="2" borderId="1" xfId="0" applyFont="1" applyFill="1" applyBorder="1" applyAlignment="1">
      <alignment horizontal="center"/>
    </xf>
    <xf numFmtId="0" fontId="54" fillId="2" borderId="0" xfId="0" applyFont="1" applyFill="1" applyBorder="1" applyAlignment="1">
      <alignment horizontal="center"/>
    </xf>
    <xf numFmtId="0" fontId="54" fillId="7" borderId="1" xfId="0" applyFont="1" applyFill="1" applyBorder="1" applyAlignment="1">
      <alignment horizontal="center"/>
    </xf>
    <xf numFmtId="16" fontId="54" fillId="7" borderId="1" xfId="0" applyNumberFormat="1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6" fontId="0" fillId="2" borderId="9" xfId="0" applyNumberFormat="1" applyFill="1" applyBorder="1" applyAlignment="1">
      <alignment horizontal="center"/>
    </xf>
    <xf numFmtId="0" fontId="0" fillId="2" borderId="9" xfId="0" applyFill="1" applyBorder="1"/>
    <xf numFmtId="0" fontId="54" fillId="2" borderId="1" xfId="0" applyFont="1" applyFill="1" applyBorder="1" applyAlignment="1">
      <alignment horizontal="center"/>
    </xf>
    <xf numFmtId="0" fontId="54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54" fillId="2" borderId="0" xfId="0" applyFont="1" applyFill="1" applyBorder="1" applyAlignment="1">
      <alignment horizontal="center"/>
    </xf>
    <xf numFmtId="0" fontId="41" fillId="2" borderId="0" xfId="0" applyFont="1" applyFill="1" applyBorder="1" applyAlignment="1">
      <alignment vertical="center" wrapText="1"/>
    </xf>
    <xf numFmtId="0" fontId="21" fillId="2" borderId="0" xfId="0" applyFont="1" applyFill="1" applyBorder="1"/>
    <xf numFmtId="0" fontId="54" fillId="2" borderId="1" xfId="0" applyFont="1" applyFill="1" applyBorder="1" applyAlignment="1">
      <alignment horizontal="center"/>
    </xf>
    <xf numFmtId="0" fontId="54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54" fillId="2" borderId="0" xfId="0" applyFont="1" applyFill="1" applyBorder="1" applyAlignment="1">
      <alignment horizontal="center"/>
    </xf>
    <xf numFmtId="0" fontId="79" fillId="2" borderId="0" xfId="0" applyFont="1" applyFill="1" applyBorder="1" applyAlignment="1">
      <alignment horizontal="center" vertical="center"/>
    </xf>
    <xf numFmtId="16" fontId="79" fillId="2" borderId="0" xfId="0" applyNumberFormat="1" applyFont="1" applyFill="1" applyBorder="1" applyAlignment="1">
      <alignment horizontal="center" vertical="center"/>
    </xf>
    <xf numFmtId="16" fontId="0" fillId="2" borderId="0" xfId="0" applyNumberFormat="1" applyFill="1" applyBorder="1" applyAlignment="1">
      <alignment horizontal="center"/>
    </xf>
    <xf numFmtId="0" fontId="72" fillId="2" borderId="0" xfId="0" applyFont="1" applyFill="1" applyBorder="1" applyAlignment="1">
      <alignment horizontal="center"/>
    </xf>
    <xf numFmtId="0" fontId="54" fillId="2" borderId="1" xfId="0" applyFont="1" applyFill="1" applyBorder="1" applyAlignment="1">
      <alignment horizontal="center"/>
    </xf>
    <xf numFmtId="0" fontId="41" fillId="2" borderId="0" xfId="0" applyFont="1" applyFill="1" applyBorder="1" applyAlignment="1">
      <alignment horizontal="center"/>
    </xf>
    <xf numFmtId="0" fontId="41" fillId="9" borderId="0" xfId="0" applyFont="1" applyFill="1" applyBorder="1" applyAlignment="1">
      <alignment horizontal="center"/>
    </xf>
    <xf numFmtId="0" fontId="54" fillId="2" borderId="1" xfId="0" applyFont="1" applyFill="1" applyBorder="1" applyAlignment="1">
      <alignment horizontal="center"/>
    </xf>
    <xf numFmtId="0" fontId="54" fillId="2" borderId="0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54" fillId="2" borderId="0" xfId="0" applyFont="1" applyFill="1" applyBorder="1" applyAlignment="1">
      <alignment horizontal="center"/>
    </xf>
    <xf numFmtId="0" fontId="77" fillId="2" borderId="1" xfId="0" applyFont="1" applyFill="1" applyBorder="1" applyAlignment="1">
      <alignment horizontal="center" vertical="center" wrapText="1"/>
    </xf>
    <xf numFmtId="167" fontId="77" fillId="2" borderId="1" xfId="0" applyNumberFormat="1" applyFont="1" applyFill="1" applyBorder="1" applyAlignment="1">
      <alignment horizontal="center" vertical="center" wrapText="1"/>
    </xf>
    <xf numFmtId="14" fontId="77" fillId="2" borderId="1" xfId="0" quotePrefix="1" applyNumberFormat="1" applyFont="1" applyFill="1" applyBorder="1" applyAlignment="1">
      <alignment horizontal="center" vertical="center" wrapText="1"/>
    </xf>
    <xf numFmtId="0" fontId="80" fillId="0" borderId="0" xfId="0" applyFont="1"/>
    <xf numFmtId="0" fontId="77" fillId="2" borderId="1" xfId="0" quotePrefix="1" applyNumberFormat="1" applyFont="1" applyFill="1" applyBorder="1" applyAlignment="1">
      <alignment horizontal="center" vertical="center" wrapText="1"/>
    </xf>
    <xf numFmtId="167" fontId="0" fillId="0" borderId="1" xfId="0" applyNumberFormat="1" applyBorder="1"/>
    <xf numFmtId="1" fontId="26" fillId="2" borderId="1" xfId="0" applyNumberFormat="1" applyFont="1" applyFill="1" applyBorder="1" applyAlignment="1">
      <alignment horizontal="center"/>
    </xf>
    <xf numFmtId="0" fontId="79" fillId="2" borderId="4" xfId="0" applyFont="1" applyFill="1" applyBorder="1" applyAlignment="1">
      <alignment horizontal="center" vertical="center"/>
    </xf>
    <xf numFmtId="0" fontId="54" fillId="2" borderId="4" xfId="0" applyFont="1" applyFill="1" applyBorder="1" applyAlignment="1">
      <alignment horizontal="center"/>
    </xf>
    <xf numFmtId="0" fontId="54" fillId="2" borderId="4" xfId="0" applyFont="1" applyFill="1" applyBorder="1" applyAlignment="1"/>
    <xf numFmtId="0" fontId="0" fillId="2" borderId="4" xfId="0" applyFill="1" applyBorder="1"/>
    <xf numFmtId="0" fontId="0" fillId="0" borderId="4" xfId="0" applyBorder="1"/>
    <xf numFmtId="0" fontId="0" fillId="0" borderId="1" xfId="0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4" fillId="2" borderId="1" xfId="0" applyFont="1" applyFill="1" applyBorder="1" applyAlignment="1">
      <alignment horizontal="center"/>
    </xf>
    <xf numFmtId="0" fontId="77" fillId="7" borderId="1" xfId="0" applyFont="1" applyFill="1" applyBorder="1" applyAlignment="1">
      <alignment horizontal="center" vertical="center" wrapText="1"/>
    </xf>
    <xf numFmtId="167" fontId="77" fillId="7" borderId="1" xfId="0" applyNumberFormat="1" applyFont="1" applyFill="1" applyBorder="1" applyAlignment="1">
      <alignment horizontal="center" vertical="center" wrapText="1"/>
    </xf>
    <xf numFmtId="14" fontId="77" fillId="7" borderId="1" xfId="0" quotePrefix="1" applyNumberFormat="1" applyFont="1" applyFill="1" applyBorder="1" applyAlignment="1">
      <alignment horizontal="center" vertical="center" wrapText="1"/>
    </xf>
    <xf numFmtId="0" fontId="0" fillId="7" borderId="1" xfId="0" applyFill="1" applyBorder="1"/>
    <xf numFmtId="0" fontId="54" fillId="2" borderId="1" xfId="0" applyFont="1" applyFill="1" applyBorder="1" applyAlignment="1">
      <alignment horizontal="center"/>
    </xf>
    <xf numFmtId="0" fontId="42" fillId="2" borderId="1" xfId="0" applyFont="1" applyFill="1" applyBorder="1" applyAlignment="1">
      <alignment wrapText="1"/>
    </xf>
    <xf numFmtId="0" fontId="81" fillId="2" borderId="1" xfId="0" applyFont="1" applyFill="1" applyBorder="1"/>
    <xf numFmtId="0" fontId="50" fillId="2" borderId="1" xfId="0" applyFont="1" applyFill="1" applyBorder="1" applyAlignment="1">
      <alignment wrapText="1"/>
    </xf>
    <xf numFmtId="0" fontId="42" fillId="2" borderId="1" xfId="0" applyFont="1" applyFill="1" applyBorder="1" applyAlignment="1">
      <alignment vertical="center" wrapText="1"/>
    </xf>
    <xf numFmtId="0" fontId="42" fillId="2" borderId="1" xfId="0" applyFont="1" applyFill="1" applyBorder="1" applyAlignment="1">
      <alignment vertical="center"/>
    </xf>
    <xf numFmtId="0" fontId="50" fillId="2" borderId="1" xfId="0" applyFont="1" applyFill="1" applyBorder="1"/>
    <xf numFmtId="0" fontId="82" fillId="2" borderId="1" xfId="0" applyFont="1" applyFill="1" applyBorder="1" applyAlignment="1">
      <alignment horizontal="center" vertical="center" wrapText="1"/>
    </xf>
    <xf numFmtId="0" fontId="54" fillId="2" borderId="1" xfId="0" applyFont="1" applyFill="1" applyBorder="1" applyAlignment="1">
      <alignment horizontal="center"/>
    </xf>
    <xf numFmtId="0" fontId="54" fillId="2" borderId="0" xfId="0" applyFont="1" applyFill="1" applyBorder="1" applyAlignment="1">
      <alignment horizontal="center"/>
    </xf>
    <xf numFmtId="0" fontId="54" fillId="2" borderId="4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77" fillId="10" borderId="1" xfId="0" applyFont="1" applyFill="1" applyBorder="1" applyAlignment="1">
      <alignment horizontal="center" vertical="center" wrapText="1"/>
    </xf>
    <xf numFmtId="0" fontId="54" fillId="10" borderId="1" xfId="0" applyFont="1" applyFill="1" applyBorder="1" applyAlignment="1">
      <alignment horizontal="center"/>
    </xf>
    <xf numFmtId="16" fontId="54" fillId="10" borderId="1" xfId="0" applyNumberFormat="1" applyFont="1" applyFill="1" applyBorder="1" applyAlignment="1">
      <alignment horizontal="center"/>
    </xf>
    <xf numFmtId="0" fontId="54" fillId="2" borderId="4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54" fillId="2" borderId="1" xfId="0" applyFont="1" applyFill="1" applyBorder="1" applyAlignment="1">
      <alignment horizontal="center"/>
    </xf>
    <xf numFmtId="0" fontId="54" fillId="2" borderId="0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4" fillId="2" borderId="1" xfId="0" applyFont="1" applyFill="1" applyBorder="1" applyAlignment="1">
      <alignment horizontal="center"/>
    </xf>
    <xf numFmtId="0" fontId="54" fillId="2" borderId="0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54" fillId="2" borderId="1" xfId="0" applyFont="1" applyFill="1" applyBorder="1" applyAlignment="1">
      <alignment horizontal="center"/>
    </xf>
    <xf numFmtId="0" fontId="77" fillId="2" borderId="1" xfId="2" applyFont="1" applyFill="1" applyBorder="1" applyAlignment="1">
      <alignment horizontal="center" vertical="center" wrapText="1"/>
    </xf>
    <xf numFmtId="14" fontId="77" fillId="2" borderId="1" xfId="2" quotePrefix="1" applyNumberFormat="1" applyFont="1" applyFill="1" applyBorder="1" applyAlignment="1">
      <alignment horizontal="center" vertical="center" wrapText="1"/>
    </xf>
    <xf numFmtId="0" fontId="83" fillId="11" borderId="1" xfId="0" applyFont="1" applyFill="1" applyBorder="1" applyAlignment="1">
      <alignment horizontal="center" vertical="center" wrapText="1"/>
    </xf>
    <xf numFmtId="167" fontId="77" fillId="2" borderId="1" xfId="2" applyNumberFormat="1" applyFont="1" applyFill="1" applyBorder="1" applyAlignment="1">
      <alignment horizontal="center" vertical="center" wrapText="1"/>
    </xf>
    <xf numFmtId="167" fontId="77" fillId="2" borderId="1" xfId="0" quotePrefix="1" applyNumberFormat="1" applyFont="1" applyFill="1" applyBorder="1" applyAlignment="1">
      <alignment horizontal="center" vertical="center" wrapText="1"/>
    </xf>
    <xf numFmtId="167" fontId="77" fillId="0" borderId="1" xfId="0" applyNumberFormat="1" applyFont="1" applyFill="1" applyBorder="1" applyAlignment="1">
      <alignment horizontal="center" vertical="center" wrapText="1"/>
    </xf>
    <xf numFmtId="14" fontId="77" fillId="0" borderId="1" xfId="0" quotePrefix="1" applyNumberFormat="1" applyFont="1" applyFill="1" applyBorder="1" applyAlignment="1">
      <alignment horizontal="center" vertical="center" wrapText="1"/>
    </xf>
    <xf numFmtId="0" fontId="77" fillId="2" borderId="1" xfId="0" applyNumberFormat="1" applyFont="1" applyFill="1" applyBorder="1" applyAlignment="1">
      <alignment horizontal="center" vertical="center" wrapText="1"/>
    </xf>
    <xf numFmtId="0" fontId="79" fillId="2" borderId="9" xfId="0" applyFont="1" applyFill="1" applyBorder="1" applyAlignment="1">
      <alignment horizontal="center" vertical="center"/>
    </xf>
    <xf numFmtId="16" fontId="79" fillId="2" borderId="9" xfId="0" applyNumberFormat="1" applyFont="1" applyFill="1" applyBorder="1" applyAlignment="1">
      <alignment horizontal="center" vertical="center"/>
    </xf>
    <xf numFmtId="0" fontId="79" fillId="2" borderId="15" xfId="0" applyFont="1" applyFill="1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54" fillId="2" borderId="1" xfId="0" applyFont="1" applyFill="1" applyBorder="1" applyAlignment="1">
      <alignment horizontal="center"/>
    </xf>
    <xf numFmtId="0" fontId="54" fillId="2" borderId="0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54" fillId="2" borderId="1" xfId="0" applyFont="1" applyFill="1" applyBorder="1" applyAlignment="1">
      <alignment horizontal="center"/>
    </xf>
    <xf numFmtId="0" fontId="54" fillId="2" borderId="1" xfId="0" applyFont="1" applyFill="1" applyBorder="1" applyAlignment="1">
      <alignment horizontal="center"/>
    </xf>
    <xf numFmtId="0" fontId="54" fillId="2" borderId="1" xfId="0" applyFont="1" applyFill="1" applyBorder="1" applyAlignment="1">
      <alignment horizontal="center"/>
    </xf>
    <xf numFmtId="0" fontId="54" fillId="2" borderId="1" xfId="0" applyFont="1" applyFill="1" applyBorder="1" applyAlignment="1">
      <alignment horizontal="center"/>
    </xf>
    <xf numFmtId="0" fontId="54" fillId="2" borderId="0" xfId="0" applyFont="1" applyFill="1" applyBorder="1" applyAlignment="1">
      <alignment horizontal="center"/>
    </xf>
    <xf numFmtId="0" fontId="54" fillId="2" borderId="1" xfId="0" applyFont="1" applyFill="1" applyBorder="1" applyAlignment="1">
      <alignment horizontal="center"/>
    </xf>
    <xf numFmtId="0" fontId="77" fillId="2" borderId="16" xfId="0" applyFont="1" applyFill="1" applyBorder="1" applyAlignment="1">
      <alignment horizontal="center" vertical="center" wrapText="1"/>
    </xf>
    <xf numFmtId="167" fontId="77" fillId="2" borderId="16" xfId="0" applyNumberFormat="1" applyFont="1" applyFill="1" applyBorder="1" applyAlignment="1">
      <alignment horizontal="center" vertical="center" wrapText="1"/>
    </xf>
    <xf numFmtId="14" fontId="77" fillId="2" borderId="16" xfId="0" quotePrefix="1" applyNumberFormat="1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/>
    </xf>
    <xf numFmtId="0" fontId="54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54" fillId="2" borderId="0" xfId="0" applyFont="1" applyFill="1" applyBorder="1" applyAlignment="1">
      <alignment horizontal="center"/>
    </xf>
    <xf numFmtId="0" fontId="54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54" fillId="2" borderId="0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77" fillId="12" borderId="1" xfId="0" applyFont="1" applyFill="1" applyBorder="1" applyAlignment="1">
      <alignment horizontal="center" vertical="center" wrapText="1"/>
    </xf>
    <xf numFmtId="0" fontId="77" fillId="12" borderId="1" xfId="0" applyNumberFormat="1" applyFont="1" applyFill="1" applyBorder="1" applyAlignment="1">
      <alignment horizontal="center" vertical="center" wrapText="1"/>
    </xf>
    <xf numFmtId="167" fontId="77" fillId="12" borderId="1" xfId="0" quotePrefix="1" applyNumberFormat="1" applyFont="1" applyFill="1" applyBorder="1" applyAlignment="1">
      <alignment horizontal="center" vertical="center" wrapText="1"/>
    </xf>
    <xf numFmtId="0" fontId="0" fillId="12" borderId="1" xfId="0" applyFill="1" applyBorder="1"/>
    <xf numFmtId="0" fontId="54" fillId="2" borderId="1" xfId="0" applyFont="1" applyFill="1" applyBorder="1" applyAlignment="1">
      <alignment horizontal="center"/>
    </xf>
    <xf numFmtId="0" fontId="54" fillId="2" borderId="1" xfId="0" applyFont="1" applyFill="1" applyBorder="1" applyAlignment="1">
      <alignment horizontal="center"/>
    </xf>
    <xf numFmtId="0" fontId="54" fillId="2" borderId="0" xfId="0" applyFont="1" applyFill="1" applyBorder="1" applyAlignment="1">
      <alignment horizontal="center"/>
    </xf>
    <xf numFmtId="0" fontId="77" fillId="2" borderId="3" xfId="0" applyFont="1" applyFill="1" applyBorder="1" applyAlignment="1">
      <alignment horizontal="center" vertical="center" wrapText="1"/>
    </xf>
    <xf numFmtId="0" fontId="77" fillId="2" borderId="9" xfId="0" applyFont="1" applyFill="1" applyBorder="1" applyAlignment="1">
      <alignment horizontal="center" vertical="center" wrapText="1"/>
    </xf>
    <xf numFmtId="0" fontId="84" fillId="2" borderId="17" xfId="0" applyFont="1" applyFill="1" applyBorder="1" applyAlignment="1">
      <alignment horizontal="center" vertical="center" wrapText="1"/>
    </xf>
    <xf numFmtId="167" fontId="77" fillId="2" borderId="3" xfId="0" applyNumberFormat="1" applyFont="1" applyFill="1" applyBorder="1" applyAlignment="1">
      <alignment horizontal="center" vertical="center" wrapText="1"/>
    </xf>
    <xf numFmtId="167" fontId="77" fillId="2" borderId="9" xfId="0" applyNumberFormat="1" applyFont="1" applyFill="1" applyBorder="1" applyAlignment="1">
      <alignment horizontal="center" vertical="center" wrapText="1"/>
    </xf>
    <xf numFmtId="167" fontId="84" fillId="2" borderId="17" xfId="0" applyNumberFormat="1" applyFont="1" applyFill="1" applyBorder="1" applyAlignment="1">
      <alignment horizontal="center" vertical="center" wrapText="1"/>
    </xf>
    <xf numFmtId="14" fontId="77" fillId="2" borderId="3" xfId="0" quotePrefix="1" applyNumberFormat="1" applyFont="1" applyFill="1" applyBorder="1" applyAlignment="1">
      <alignment horizontal="center" vertical="center" wrapText="1"/>
    </xf>
    <xf numFmtId="166" fontId="77" fillId="2" borderId="1" xfId="2" quotePrefix="1" applyNumberFormat="1" applyFont="1" applyFill="1" applyBorder="1" applyAlignment="1">
      <alignment horizontal="center" vertical="center" wrapText="1"/>
    </xf>
    <xf numFmtId="0" fontId="54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56" fillId="0" borderId="1" xfId="0" applyFont="1" applyBorder="1" applyAlignment="1">
      <alignment horizontal="center"/>
    </xf>
    <xf numFmtId="0" fontId="85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54" fillId="2" borderId="1" xfId="0" applyFont="1" applyFill="1" applyBorder="1" applyAlignment="1">
      <alignment horizontal="center"/>
    </xf>
    <xf numFmtId="0" fontId="0" fillId="10" borderId="1" xfId="0" applyFill="1" applyBorder="1"/>
    <xf numFmtId="0" fontId="76" fillId="2" borderId="1" xfId="0" applyFont="1" applyFill="1" applyBorder="1" applyAlignment="1">
      <alignment horizontal="center" vertical="center"/>
    </xf>
    <xf numFmtId="0" fontId="0" fillId="0" borderId="0" xfId="0" applyFont="1"/>
    <xf numFmtId="0" fontId="69" fillId="2" borderId="1" xfId="0" applyFont="1" applyFill="1" applyBorder="1" applyAlignment="1">
      <alignment horizontal="center" vertical="center"/>
    </xf>
    <xf numFmtId="0" fontId="86" fillId="2" borderId="1" xfId="0" applyFont="1" applyFill="1" applyBorder="1" applyAlignment="1">
      <alignment horizontal="center" vertical="center"/>
    </xf>
    <xf numFmtId="1" fontId="86" fillId="2" borderId="1" xfId="0" applyNumberFormat="1" applyFont="1" applyFill="1" applyBorder="1" applyAlignment="1">
      <alignment horizontal="center" vertical="center"/>
    </xf>
    <xf numFmtId="1" fontId="87" fillId="2" borderId="1" xfId="0" applyNumberFormat="1" applyFont="1" applyFill="1" applyBorder="1" applyAlignment="1">
      <alignment horizontal="center" vertical="center"/>
    </xf>
    <xf numFmtId="0" fontId="87" fillId="0" borderId="1" xfId="0" applyFont="1" applyBorder="1"/>
    <xf numFmtId="0" fontId="88" fillId="0" borderId="0" xfId="0" applyFont="1"/>
    <xf numFmtId="0" fontId="89" fillId="0" borderId="1" xfId="0" applyFont="1" applyBorder="1" applyAlignment="1">
      <alignment horizontal="center"/>
    </xf>
    <xf numFmtId="0" fontId="89" fillId="0" borderId="1" xfId="0" applyFont="1" applyBorder="1" applyAlignment="1">
      <alignment horizontal="center" vertical="center"/>
    </xf>
    <xf numFmtId="0" fontId="88" fillId="0" borderId="1" xfId="0" applyFont="1" applyBorder="1"/>
    <xf numFmtId="1" fontId="88" fillId="0" borderId="1" xfId="0" applyNumberFormat="1" applyFont="1" applyBorder="1"/>
    <xf numFmtId="1" fontId="76" fillId="2" borderId="1" xfId="0" applyNumberFormat="1" applyFont="1" applyFill="1" applyBorder="1" applyAlignment="1">
      <alignment horizontal="center" vertical="center"/>
    </xf>
    <xf numFmtId="1" fontId="90" fillId="2" borderId="1" xfId="0" applyNumberFormat="1" applyFont="1" applyFill="1" applyBorder="1" applyAlignment="1">
      <alignment horizontal="center" vertical="center"/>
    </xf>
    <xf numFmtId="1" fontId="91" fillId="2" borderId="1" xfId="0" applyNumberFormat="1" applyFont="1" applyFill="1" applyBorder="1" applyAlignment="1">
      <alignment horizontal="center"/>
    </xf>
    <xf numFmtId="0" fontId="88" fillId="0" borderId="0" xfId="0" applyFont="1" applyBorder="1"/>
    <xf numFmtId="0" fontId="79" fillId="2" borderId="0" xfId="0" applyFont="1" applyFill="1" applyBorder="1" applyAlignment="1">
      <alignment horizontal="center"/>
    </xf>
    <xf numFmtId="16" fontId="79" fillId="2" borderId="0" xfId="0" applyNumberFormat="1" applyFont="1" applyFill="1" applyBorder="1" applyAlignment="1">
      <alignment horizontal="center"/>
    </xf>
    <xf numFmtId="0" fontId="88" fillId="0" borderId="0" xfId="0" applyFont="1" applyBorder="1" applyAlignment="1">
      <alignment horizontal="center" vertical="center" wrapText="1"/>
    </xf>
    <xf numFmtId="0" fontId="88" fillId="0" borderId="0" xfId="0" applyFont="1" applyBorder="1" applyAlignment="1">
      <alignment horizontal="center"/>
    </xf>
    <xf numFmtId="0" fontId="92" fillId="2" borderId="0" xfId="0" applyFont="1" applyFill="1" applyBorder="1" applyAlignment="1">
      <alignment horizontal="center"/>
    </xf>
    <xf numFmtId="0" fontId="88" fillId="2" borderId="9" xfId="0" applyFont="1" applyFill="1" applyBorder="1" applyAlignment="1">
      <alignment horizontal="center"/>
    </xf>
    <xf numFmtId="16" fontId="88" fillId="2" borderId="9" xfId="0" applyNumberFormat="1" applyFont="1" applyFill="1" applyBorder="1" applyAlignment="1">
      <alignment horizontal="center"/>
    </xf>
    <xf numFmtId="0" fontId="79" fillId="2" borderId="1" xfId="0" applyFont="1" applyFill="1" applyBorder="1" applyAlignment="1">
      <alignment horizontal="center"/>
    </xf>
    <xf numFmtId="0" fontId="88" fillId="2" borderId="1" xfId="0" applyFont="1" applyFill="1" applyBorder="1" applyAlignment="1">
      <alignment horizontal="center"/>
    </xf>
    <xf numFmtId="16" fontId="88" fillId="2" borderId="1" xfId="0" applyNumberFormat="1" applyFont="1" applyFill="1" applyBorder="1" applyAlignment="1">
      <alignment horizontal="center"/>
    </xf>
    <xf numFmtId="0" fontId="88" fillId="2" borderId="0" xfId="0" applyFont="1" applyFill="1" applyBorder="1"/>
    <xf numFmtId="0" fontId="79" fillId="2" borderId="1" xfId="0" applyFont="1" applyFill="1" applyBorder="1" applyAlignment="1"/>
    <xf numFmtId="0" fontId="88" fillId="2" borderId="0" xfId="0" applyFont="1" applyFill="1" applyBorder="1" applyAlignment="1">
      <alignment horizontal="center"/>
    </xf>
    <xf numFmtId="16" fontId="88" fillId="2" borderId="0" xfId="0" applyNumberFormat="1" applyFont="1" applyFill="1" applyBorder="1" applyAlignment="1">
      <alignment horizontal="center"/>
    </xf>
    <xf numFmtId="0" fontId="79" fillId="2" borderId="0" xfId="0" applyFont="1" applyFill="1" applyBorder="1" applyAlignment="1"/>
    <xf numFmtId="0" fontId="88" fillId="0" borderId="0" xfId="0" applyFont="1" applyBorder="1" applyAlignment="1">
      <alignment vertical="center" wrapText="1"/>
    </xf>
    <xf numFmtId="0" fontId="63" fillId="2" borderId="1" xfId="0" applyFont="1" applyFill="1" applyBorder="1" applyAlignment="1">
      <alignment horizontal="center" vertical="center" wrapText="1"/>
    </xf>
    <xf numFmtId="167" fontId="63" fillId="2" borderId="1" xfId="0" applyNumberFormat="1" applyFont="1" applyFill="1" applyBorder="1" applyAlignment="1">
      <alignment horizontal="center" vertical="center" wrapText="1"/>
    </xf>
    <xf numFmtId="14" fontId="63" fillId="2" borderId="1" xfId="0" quotePrefix="1" applyNumberFormat="1" applyFont="1" applyFill="1" applyBorder="1" applyAlignment="1">
      <alignment horizontal="center" vertical="center" wrapText="1"/>
    </xf>
    <xf numFmtId="0" fontId="88" fillId="2" borderId="1" xfId="0" applyFont="1" applyFill="1" applyBorder="1"/>
    <xf numFmtId="0" fontId="63" fillId="2" borderId="1" xfId="2" applyFont="1" applyFill="1" applyBorder="1" applyAlignment="1">
      <alignment horizontal="center" vertical="center" wrapText="1"/>
    </xf>
    <xf numFmtId="167" fontId="63" fillId="2" borderId="1" xfId="2" applyNumberFormat="1" applyFont="1" applyFill="1" applyBorder="1" applyAlignment="1">
      <alignment horizontal="center" vertical="center" wrapText="1"/>
    </xf>
    <xf numFmtId="14" fontId="63" fillId="2" borderId="1" xfId="2" quotePrefix="1" applyNumberFormat="1" applyFont="1" applyFill="1" applyBorder="1" applyAlignment="1">
      <alignment horizontal="center" vertical="center" wrapText="1"/>
    </xf>
    <xf numFmtId="0" fontId="88" fillId="0" borderId="1" xfId="0" applyFont="1" applyBorder="1" applyAlignment="1">
      <alignment horizontal="center"/>
    </xf>
    <xf numFmtId="167" fontId="88" fillId="0" borderId="1" xfId="0" applyNumberFormat="1" applyFont="1" applyBorder="1"/>
    <xf numFmtId="16" fontId="0" fillId="0" borderId="1" xfId="0" applyNumberFormat="1" applyBorder="1"/>
    <xf numFmtId="0" fontId="77" fillId="7" borderId="1" xfId="2" applyFont="1" applyFill="1" applyBorder="1" applyAlignment="1">
      <alignment horizontal="center" vertical="center" wrapText="1"/>
    </xf>
    <xf numFmtId="167" fontId="77" fillId="7" borderId="1" xfId="2" applyNumberFormat="1" applyFont="1" applyFill="1" applyBorder="1" applyAlignment="1">
      <alignment horizontal="center" vertical="center" wrapText="1"/>
    </xf>
    <xf numFmtId="14" fontId="77" fillId="7" borderId="1" xfId="2" quotePrefix="1" applyNumberFormat="1" applyFont="1" applyFill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 wrapText="1"/>
    </xf>
    <xf numFmtId="0" fontId="79" fillId="2" borderId="1" xfId="0" applyFont="1" applyFill="1" applyBorder="1" applyAlignment="1">
      <alignment horizontal="center"/>
    </xf>
    <xf numFmtId="0" fontId="63" fillId="13" borderId="1" xfId="2" applyFont="1" applyFill="1" applyBorder="1" applyAlignment="1">
      <alignment horizontal="center" vertical="center" wrapText="1"/>
    </xf>
    <xf numFmtId="167" fontId="63" fillId="13" borderId="1" xfId="2" applyNumberFormat="1" applyFont="1" applyFill="1" applyBorder="1" applyAlignment="1">
      <alignment horizontal="center" vertical="center" wrapText="1"/>
    </xf>
    <xf numFmtId="14" fontId="63" fillId="13" borderId="1" xfId="2" quotePrefix="1" applyNumberFormat="1" applyFont="1" applyFill="1" applyBorder="1" applyAlignment="1">
      <alignment horizontal="center" vertical="center" wrapText="1"/>
    </xf>
    <xf numFmtId="0" fontId="88" fillId="13" borderId="1" xfId="0" applyFont="1" applyFill="1" applyBorder="1"/>
    <xf numFmtId="0" fontId="93" fillId="0" borderId="1" xfId="0" applyFont="1" applyBorder="1" applyAlignment="1">
      <alignment horizontal="center"/>
    </xf>
    <xf numFmtId="0" fontId="94" fillId="0" borderId="1" xfId="0" applyFont="1" applyBorder="1" applyAlignment="1">
      <alignment horizontal="center" vertical="center"/>
    </xf>
    <xf numFmtId="0" fontId="79" fillId="2" borderId="1" xfId="0" applyFont="1" applyFill="1" applyBorder="1" applyAlignment="1">
      <alignment horizontal="center"/>
    </xf>
    <xf numFmtId="0" fontId="79" fillId="2" borderId="1" xfId="0" applyFont="1" applyFill="1" applyBorder="1" applyAlignment="1">
      <alignment horizontal="center"/>
    </xf>
    <xf numFmtId="0" fontId="79" fillId="2" borderId="0" xfId="0" applyFont="1" applyFill="1" applyBorder="1" applyAlignment="1">
      <alignment horizontal="center"/>
    </xf>
    <xf numFmtId="0" fontId="76" fillId="2" borderId="1" xfId="0" applyFont="1" applyFill="1" applyBorder="1" applyAlignment="1">
      <alignment horizontal="center" vertical="center"/>
    </xf>
    <xf numFmtId="0" fontId="69" fillId="2" borderId="1" xfId="0" applyFont="1" applyFill="1" applyBorder="1" applyAlignment="1">
      <alignment horizontal="center" vertical="center"/>
    </xf>
    <xf numFmtId="0" fontId="79" fillId="2" borderId="1" xfId="0" applyFont="1" applyFill="1" applyBorder="1" applyAlignment="1">
      <alignment horizontal="center"/>
    </xf>
    <xf numFmtId="0" fontId="79" fillId="2" borderId="1" xfId="0" applyFont="1" applyFill="1" applyBorder="1" applyAlignment="1">
      <alignment horizontal="center"/>
    </xf>
    <xf numFmtId="0" fontId="79" fillId="2" borderId="1" xfId="0" applyFont="1" applyFill="1" applyBorder="1" applyAlignment="1">
      <alignment horizontal="center"/>
    </xf>
    <xf numFmtId="0" fontId="76" fillId="2" borderId="1" xfId="0" applyFont="1" applyFill="1" applyBorder="1" applyAlignment="1">
      <alignment horizontal="center" vertical="center"/>
    </xf>
    <xf numFmtId="0" fontId="42" fillId="2" borderId="3" xfId="0" applyFont="1" applyFill="1" applyBorder="1" applyAlignment="1">
      <alignment horizontal="center"/>
    </xf>
    <xf numFmtId="0" fontId="79" fillId="2" borderId="1" xfId="0" applyFont="1" applyFill="1" applyBorder="1" applyAlignment="1">
      <alignment horizontal="center"/>
    </xf>
    <xf numFmtId="0" fontId="79" fillId="2" borderId="1" xfId="0" applyFont="1" applyFill="1" applyBorder="1" applyAlignment="1">
      <alignment horizontal="center"/>
    </xf>
    <xf numFmtId="0" fontId="95" fillId="0" borderId="1" xfId="0" applyFont="1" applyBorder="1" applyAlignment="1">
      <alignment horizontal="center" vertical="center"/>
    </xf>
    <xf numFmtId="0" fontId="96" fillId="0" borderId="1" xfId="0" applyFont="1" applyBorder="1" applyAlignment="1">
      <alignment horizontal="center" vertical="center"/>
    </xf>
    <xf numFmtId="0" fontId="88" fillId="0" borderId="1" xfId="0" applyFont="1" applyBorder="1" applyAlignment="1">
      <alignment horizontal="center" vertical="center"/>
    </xf>
    <xf numFmtId="0" fontId="79" fillId="2" borderId="1" xfId="0" applyFont="1" applyFill="1" applyBorder="1" applyAlignment="1">
      <alignment horizontal="center"/>
    </xf>
    <xf numFmtId="0" fontId="97" fillId="2" borderId="1" xfId="0" applyFont="1" applyFill="1" applyBorder="1" applyAlignment="1">
      <alignment wrapText="1"/>
    </xf>
    <xf numFmtId="0" fontId="79" fillId="2" borderId="1" xfId="0" applyFont="1" applyFill="1" applyBorder="1" applyAlignment="1">
      <alignment horizontal="center"/>
    </xf>
    <xf numFmtId="0" fontId="54" fillId="2" borderId="1" xfId="0" applyFont="1" applyFill="1" applyBorder="1" applyAlignment="1">
      <alignment horizontal="center"/>
    </xf>
    <xf numFmtId="0" fontId="76" fillId="2" borderId="1" xfId="0" applyFont="1" applyFill="1" applyBorder="1" applyAlignment="1">
      <alignment horizontal="center" vertical="center"/>
    </xf>
    <xf numFmtId="0" fontId="69" fillId="2" borderId="1" xfId="0" applyFont="1" applyFill="1" applyBorder="1" applyAlignment="1">
      <alignment horizontal="center" vertical="center"/>
    </xf>
    <xf numFmtId="0" fontId="79" fillId="2" borderId="1" xfId="0" applyFont="1" applyFill="1" applyBorder="1" applyAlignment="1">
      <alignment horizontal="center"/>
    </xf>
    <xf numFmtId="0" fontId="79" fillId="2" borderId="1" xfId="0" applyFont="1" applyFill="1" applyBorder="1" applyAlignment="1">
      <alignment horizontal="center"/>
    </xf>
    <xf numFmtId="0" fontId="79" fillId="2" borderId="0" xfId="0" applyFont="1" applyFill="1" applyBorder="1" applyAlignment="1">
      <alignment horizontal="center"/>
    </xf>
    <xf numFmtId="0" fontId="54" fillId="2" borderId="0" xfId="0" applyFont="1" applyFill="1" applyBorder="1" applyAlignment="1">
      <alignment horizontal="center"/>
    </xf>
    <xf numFmtId="0" fontId="99" fillId="0" borderId="0" xfId="0" applyFont="1" applyBorder="1" applyAlignment="1">
      <alignment horizontal="center" vertical="center"/>
    </xf>
    <xf numFmtId="0" fontId="77" fillId="2" borderId="0" xfId="0" applyFont="1" applyFill="1" applyBorder="1" applyAlignment="1">
      <alignment horizontal="center" vertical="center" wrapText="1"/>
    </xf>
    <xf numFmtId="167" fontId="77" fillId="2" borderId="0" xfId="0" applyNumberFormat="1" applyFont="1" applyFill="1" applyBorder="1" applyAlignment="1">
      <alignment horizontal="center" vertical="center" wrapText="1"/>
    </xf>
    <xf numFmtId="14" fontId="77" fillId="2" borderId="0" xfId="0" quotePrefix="1" applyNumberFormat="1" applyFont="1" applyFill="1" applyBorder="1" applyAlignment="1">
      <alignment horizontal="center" vertical="center" wrapText="1"/>
    </xf>
    <xf numFmtId="0" fontId="77" fillId="2" borderId="0" xfId="2" applyFont="1" applyFill="1" applyBorder="1" applyAlignment="1">
      <alignment horizontal="center" vertical="center" wrapText="1"/>
    </xf>
    <xf numFmtId="167" fontId="77" fillId="2" borderId="0" xfId="2" applyNumberFormat="1" applyFont="1" applyFill="1" applyBorder="1" applyAlignment="1">
      <alignment horizontal="center" vertical="center" wrapText="1"/>
    </xf>
    <xf numFmtId="14" fontId="77" fillId="2" borderId="0" xfId="2" quotePrefix="1" applyNumberFormat="1" applyFont="1" applyFill="1" applyBorder="1" applyAlignment="1">
      <alignment horizontal="center" vertical="center" wrapText="1"/>
    </xf>
    <xf numFmtId="167" fontId="0" fillId="0" borderId="0" xfId="0" applyNumberFormat="1" applyBorder="1"/>
    <xf numFmtId="0" fontId="54" fillId="2" borderId="1" xfId="0" applyFont="1" applyFill="1" applyBorder="1" applyAlignment="1">
      <alignment horizontal="center"/>
    </xf>
    <xf numFmtId="0" fontId="100" fillId="0" borderId="1" xfId="0" applyFont="1" applyBorder="1" applyAlignment="1">
      <alignment horizontal="center" vertical="center"/>
    </xf>
    <xf numFmtId="0" fontId="79" fillId="2" borderId="1" xfId="0" applyFont="1" applyFill="1" applyBorder="1" applyAlignment="1">
      <alignment horizontal="center"/>
    </xf>
    <xf numFmtId="0" fontId="92" fillId="2" borderId="1" xfId="0" applyFont="1" applyFill="1" applyBorder="1" applyAlignment="1">
      <alignment horizontal="center"/>
    </xf>
    <xf numFmtId="0" fontId="61" fillId="0" borderId="0" xfId="0" applyFont="1" applyFill="1" applyAlignment="1">
      <alignment vertical="center"/>
    </xf>
    <xf numFmtId="0" fontId="42" fillId="2" borderId="0" xfId="0" applyFont="1" applyFill="1" applyBorder="1" applyAlignment="1">
      <alignment horizontal="center"/>
    </xf>
    <xf numFmtId="0" fontId="21" fillId="2" borderId="0" xfId="0" applyFont="1" applyFill="1" applyBorder="1" applyAlignment="1">
      <alignment vertical="center" wrapText="1"/>
    </xf>
    <xf numFmtId="0" fontId="79" fillId="2" borderId="0" xfId="0" applyFont="1" applyFill="1" applyBorder="1" applyAlignment="1">
      <alignment horizontal="center"/>
    </xf>
    <xf numFmtId="0" fontId="54" fillId="2" borderId="0" xfId="0" applyFont="1" applyFill="1" applyBorder="1" applyAlignment="1">
      <alignment horizontal="center"/>
    </xf>
    <xf numFmtId="0" fontId="76" fillId="2" borderId="1" xfId="0" applyFont="1" applyFill="1" applyBorder="1" applyAlignment="1">
      <alignment horizontal="center" vertical="center"/>
    </xf>
    <xf numFmtId="0" fontId="69" fillId="2" borderId="1" xfId="0" applyFont="1" applyFill="1" applyBorder="1" applyAlignment="1">
      <alignment horizontal="center" vertical="center"/>
    </xf>
    <xf numFmtId="0" fontId="76" fillId="2" borderId="1" xfId="0" applyFont="1" applyFill="1" applyBorder="1" applyAlignment="1">
      <alignment horizontal="center" vertical="center"/>
    </xf>
    <xf numFmtId="0" fontId="76" fillId="2" borderId="1" xfId="0" applyFont="1" applyFill="1" applyBorder="1" applyAlignment="1">
      <alignment horizontal="center" vertical="center"/>
    </xf>
    <xf numFmtId="0" fontId="79" fillId="2" borderId="1" xfId="0" applyFont="1" applyFill="1" applyBorder="1" applyAlignment="1">
      <alignment horizontal="center"/>
    </xf>
    <xf numFmtId="0" fontId="21" fillId="2" borderId="0" xfId="0" applyFont="1" applyFill="1" applyBorder="1" applyAlignment="1">
      <alignment wrapText="1"/>
    </xf>
    <xf numFmtId="0" fontId="41" fillId="2" borderId="0" xfId="0" applyFont="1" applyFill="1" applyBorder="1" applyAlignment="1">
      <alignment wrapText="1"/>
    </xf>
    <xf numFmtId="0" fontId="41" fillId="2" borderId="0" xfId="0" applyFont="1" applyFill="1" applyBorder="1"/>
    <xf numFmtId="0" fontId="79" fillId="2" borderId="1" xfId="0" applyFont="1" applyFill="1" applyBorder="1" applyAlignment="1">
      <alignment horizontal="center"/>
    </xf>
    <xf numFmtId="0" fontId="54" fillId="2" borderId="0" xfId="0" applyFont="1" applyFill="1" applyBorder="1" applyAlignment="1">
      <alignment horizontal="center"/>
    </xf>
    <xf numFmtId="0" fontId="79" fillId="2" borderId="0" xfId="0" applyFont="1" applyFill="1" applyBorder="1" applyAlignment="1">
      <alignment horizontal="center"/>
    </xf>
    <xf numFmtId="0" fontId="76" fillId="2" borderId="1" xfId="0" applyFont="1" applyFill="1" applyBorder="1" applyAlignment="1">
      <alignment horizontal="center" vertical="center"/>
    </xf>
    <xf numFmtId="0" fontId="69" fillId="2" borderId="1" xfId="0" applyFont="1" applyFill="1" applyBorder="1" applyAlignment="1">
      <alignment horizontal="center" vertical="center"/>
    </xf>
    <xf numFmtId="0" fontId="88" fillId="0" borderId="0" xfId="0" applyFont="1" applyAlignment="1">
      <alignment horizontal="center"/>
    </xf>
    <xf numFmtId="0" fontId="79" fillId="2" borderId="1" xfId="0" applyFont="1" applyFill="1" applyBorder="1" applyAlignment="1">
      <alignment horizontal="center"/>
    </xf>
    <xf numFmtId="0" fontId="76" fillId="2" borderId="1" xfId="0" applyFont="1" applyFill="1" applyBorder="1" applyAlignment="1">
      <alignment horizontal="center" vertical="center"/>
    </xf>
    <xf numFmtId="0" fontId="56" fillId="2" borderId="1" xfId="0" applyFont="1" applyFill="1" applyBorder="1"/>
    <xf numFmtId="0" fontId="49" fillId="2" borderId="1" xfId="2" applyFont="1" applyFill="1" applyBorder="1" applyAlignment="1">
      <alignment horizontal="center" vertical="center" wrapText="1"/>
    </xf>
    <xf numFmtId="14" fontId="77" fillId="2" borderId="1" xfId="2" applyNumberFormat="1" applyFont="1" applyFill="1" applyBorder="1" applyAlignment="1">
      <alignment horizontal="center" vertical="center" wrapText="1"/>
    </xf>
    <xf numFmtId="167" fontId="81" fillId="0" borderId="1" xfId="0" applyNumberFormat="1" applyFont="1" applyBorder="1" applyAlignment="1">
      <alignment horizontal="center" vertical="center"/>
    </xf>
    <xf numFmtId="0" fontId="41" fillId="2" borderId="3" xfId="0" applyFont="1" applyFill="1" applyBorder="1" applyAlignment="1">
      <alignment wrapText="1"/>
    </xf>
    <xf numFmtId="0" fontId="21" fillId="7" borderId="1" xfId="0" applyFont="1" applyFill="1" applyBorder="1" applyAlignment="1">
      <alignment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54" fillId="2" borderId="0" xfId="0" applyFont="1" applyFill="1" applyBorder="1" applyAlignment="1">
      <alignment horizontal="center"/>
    </xf>
    <xf numFmtId="0" fontId="79" fillId="2" borderId="1" xfId="0" applyFont="1" applyFill="1" applyBorder="1" applyAlignment="1">
      <alignment horizontal="center"/>
    </xf>
    <xf numFmtId="0" fontId="54" fillId="2" borderId="0" xfId="0" applyFont="1" applyFill="1" applyBorder="1" applyAlignment="1">
      <alignment horizontal="center"/>
    </xf>
    <xf numFmtId="0" fontId="76" fillId="2" borderId="1" xfId="0" applyFont="1" applyFill="1" applyBorder="1" applyAlignment="1">
      <alignment horizontal="center" vertical="center"/>
    </xf>
    <xf numFmtId="0" fontId="69" fillId="2" borderId="1" xfId="0" applyFont="1" applyFill="1" applyBorder="1" applyAlignment="1">
      <alignment horizontal="center" vertical="center"/>
    </xf>
    <xf numFmtId="0" fontId="79" fillId="2" borderId="0" xfId="0" applyFont="1" applyFill="1" applyBorder="1" applyAlignment="1">
      <alignment horizontal="center"/>
    </xf>
    <xf numFmtId="0" fontId="49" fillId="7" borderId="1" xfId="2" applyFont="1" applyFill="1" applyBorder="1" applyAlignment="1">
      <alignment horizontal="center" vertical="center" wrapText="1"/>
    </xf>
    <xf numFmtId="14" fontId="77" fillId="7" borderId="1" xfId="2" applyNumberFormat="1" applyFont="1" applyFill="1" applyBorder="1" applyAlignment="1">
      <alignment horizontal="center" vertical="center" wrapText="1"/>
    </xf>
    <xf numFmtId="0" fontId="79" fillId="7" borderId="1" xfId="0" applyFont="1" applyFill="1" applyBorder="1" applyAlignment="1">
      <alignment horizontal="center"/>
    </xf>
    <xf numFmtId="0" fontId="79" fillId="2" borderId="1" xfId="0" applyFont="1" applyFill="1" applyBorder="1" applyAlignment="1">
      <alignment horizontal="center"/>
    </xf>
    <xf numFmtId="0" fontId="76" fillId="2" borderId="1" xfId="0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left" vertical="top"/>
    </xf>
    <xf numFmtId="0" fontId="41" fillId="2" borderId="1" xfId="0" applyFont="1" applyFill="1" applyBorder="1" applyAlignment="1">
      <alignment vertical="center"/>
    </xf>
    <xf numFmtId="0" fontId="101" fillId="2" borderId="1" xfId="0" applyFont="1" applyFill="1" applyBorder="1" applyAlignment="1">
      <alignment vertical="center" wrapText="1"/>
    </xf>
    <xf numFmtId="0" fontId="21" fillId="7" borderId="1" xfId="0" applyFont="1" applyFill="1" applyBorder="1" applyAlignment="1">
      <alignment wrapText="1"/>
    </xf>
    <xf numFmtId="0" fontId="41" fillId="7" borderId="1" xfId="0" applyFont="1" applyFill="1" applyBorder="1" applyAlignment="1">
      <alignment wrapText="1"/>
    </xf>
    <xf numFmtId="0" fontId="41" fillId="7" borderId="1" xfId="0" applyFont="1" applyFill="1" applyBorder="1"/>
    <xf numFmtId="0" fontId="51" fillId="2" borderId="4" xfId="0" applyFont="1" applyFill="1" applyBorder="1" applyAlignment="1">
      <alignment horizontal="center" vertical="center"/>
    </xf>
    <xf numFmtId="0" fontId="51" fillId="2" borderId="12" xfId="0" applyFont="1" applyFill="1" applyBorder="1" applyAlignment="1">
      <alignment horizontal="center" vertical="center"/>
    </xf>
    <xf numFmtId="0" fontId="42" fillId="2" borderId="5" xfId="0" applyFont="1" applyFill="1" applyBorder="1" applyAlignment="1">
      <alignment horizontal="center" vertical="center"/>
    </xf>
    <xf numFmtId="0" fontId="42" fillId="2" borderId="4" xfId="0" applyFont="1" applyFill="1" applyBorder="1" applyAlignment="1">
      <alignment horizontal="center" vertical="center"/>
    </xf>
    <xf numFmtId="0" fontId="61" fillId="0" borderId="0" xfId="0" applyFont="1" applyFill="1" applyAlignment="1">
      <alignment vertical="center"/>
    </xf>
    <xf numFmtId="0" fontId="62" fillId="0" borderId="2" xfId="0" applyFont="1" applyFill="1" applyBorder="1" applyAlignment="1">
      <alignment vertical="center"/>
    </xf>
    <xf numFmtId="0" fontId="102" fillId="0" borderId="1" xfId="0" applyFont="1" applyFill="1" applyBorder="1" applyAlignment="1">
      <alignment horizontal="center" vertical="center"/>
    </xf>
    <xf numFmtId="0" fontId="79" fillId="2" borderId="1" xfId="0" applyFont="1" applyFill="1" applyBorder="1" applyAlignment="1">
      <alignment horizontal="center"/>
    </xf>
    <xf numFmtId="0" fontId="54" fillId="2" borderId="0" xfId="0" applyFont="1" applyFill="1" applyBorder="1" applyAlignment="1">
      <alignment horizontal="center"/>
    </xf>
    <xf numFmtId="0" fontId="76" fillId="2" borderId="1" xfId="0" applyFont="1" applyFill="1" applyBorder="1" applyAlignment="1">
      <alignment horizontal="center" vertical="center"/>
    </xf>
    <xf numFmtId="0" fontId="69" fillId="0" borderId="1" xfId="0" applyFont="1" applyBorder="1" applyAlignment="1">
      <alignment horizontal="center" wrapText="1"/>
    </xf>
    <xf numFmtId="0" fontId="69" fillId="2" borderId="1" xfId="0" applyFont="1" applyFill="1" applyBorder="1" applyAlignment="1">
      <alignment horizontal="center" vertical="center"/>
    </xf>
    <xf numFmtId="0" fontId="69" fillId="2" borderId="9" xfId="0" applyFont="1" applyFill="1" applyBorder="1" applyAlignment="1">
      <alignment horizontal="center" vertical="center" wrapText="1"/>
    </xf>
    <xf numFmtId="0" fontId="69" fillId="2" borderId="3" xfId="0" applyFont="1" applyFill="1" applyBorder="1" applyAlignment="1">
      <alignment horizontal="center" vertical="center" wrapText="1"/>
    </xf>
    <xf numFmtId="0" fontId="69" fillId="2" borderId="9" xfId="0" applyFont="1" applyFill="1" applyBorder="1" applyAlignment="1">
      <alignment horizontal="center" vertical="center"/>
    </xf>
    <xf numFmtId="0" fontId="69" fillId="2" borderId="3" xfId="0" applyFont="1" applyFill="1" applyBorder="1" applyAlignment="1">
      <alignment horizontal="center" vertical="center"/>
    </xf>
    <xf numFmtId="0" fontId="79" fillId="2" borderId="0" xfId="0" applyFont="1" applyFill="1" applyBorder="1" applyAlignment="1">
      <alignment horizontal="center"/>
    </xf>
    <xf numFmtId="0" fontId="54" fillId="2" borderId="1" xfId="0" applyFont="1" applyFill="1" applyBorder="1" applyAlignment="1">
      <alignment horizontal="center"/>
    </xf>
    <xf numFmtId="0" fontId="54" fillId="2" borderId="4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54" fillId="0" borderId="0" xfId="0" applyFont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4" fillId="0" borderId="4" xfId="0" applyFont="1" applyBorder="1" applyAlignment="1">
      <alignment horizontal="center"/>
    </xf>
    <xf numFmtId="0" fontId="54" fillId="0" borderId="12" xfId="0" applyFont="1" applyBorder="1" applyAlignment="1">
      <alignment horizontal="center"/>
    </xf>
    <xf numFmtId="0" fontId="54" fillId="0" borderId="5" xfId="0" applyFont="1" applyBorder="1" applyAlignment="1">
      <alignment horizontal="center"/>
    </xf>
    <xf numFmtId="0" fontId="54" fillId="0" borderId="1" xfId="0" applyFont="1" applyBorder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2" borderId="0" xfId="0" applyFont="1" applyFill="1" applyBorder="1" applyAlignment="1">
      <alignment horizontal="center" wrapText="1"/>
    </xf>
    <xf numFmtId="0" fontId="12" fillId="2" borderId="0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5" fillId="2" borderId="9" xfId="0" applyFont="1" applyFill="1" applyBorder="1" applyAlignment="1">
      <alignment horizontal="center" wrapText="1"/>
    </xf>
    <xf numFmtId="0" fontId="15" fillId="2" borderId="3" xfId="0" applyFont="1" applyFill="1" applyBorder="1" applyAlignment="1">
      <alignment horizontal="center" wrapText="1"/>
    </xf>
    <xf numFmtId="0" fontId="32" fillId="2" borderId="4" xfId="0" applyFont="1" applyFill="1" applyBorder="1" applyAlignment="1">
      <alignment horizontal="center" vertical="center"/>
    </xf>
    <xf numFmtId="0" fontId="32" fillId="2" borderId="5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wrapText="1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3" fillId="2" borderId="4" xfId="0" applyFont="1" applyFill="1" applyBorder="1" applyAlignment="1">
      <alignment horizontal="center" vertical="center"/>
    </xf>
    <xf numFmtId="0" fontId="33" fillId="2" borderId="5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7" fontId="7" fillId="2" borderId="4" xfId="0" applyNumberFormat="1" applyFont="1" applyFill="1" applyBorder="1" applyAlignment="1">
      <alignment horizontal="center" vertical="center"/>
    </xf>
    <xf numFmtId="0" fontId="7" fillId="2" borderId="12" xfId="0" applyNumberFormat="1" applyFont="1" applyFill="1" applyBorder="1" applyAlignment="1">
      <alignment horizontal="center" vertical="center"/>
    </xf>
    <xf numFmtId="0" fontId="7" fillId="2" borderId="5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29" fillId="2" borderId="4" xfId="0" applyNumberFormat="1" applyFont="1" applyFill="1" applyBorder="1" applyAlignment="1">
      <alignment horizontal="center" vertical="center"/>
    </xf>
    <xf numFmtId="0" fontId="29" fillId="2" borderId="12" xfId="0" applyNumberFormat="1" applyFont="1" applyFill="1" applyBorder="1" applyAlignment="1">
      <alignment horizontal="center" vertical="center"/>
    </xf>
    <xf numFmtId="0" fontId="29" fillId="2" borderId="5" xfId="0" applyNumberFormat="1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68" fillId="0" borderId="1" xfId="0" applyFont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41" fillId="13" borderId="1" xfId="0" applyFont="1" applyFill="1" applyBorder="1"/>
    <xf numFmtId="0" fontId="77" fillId="0" borderId="16" xfId="0" applyFont="1" applyFill="1" applyBorder="1" applyAlignment="1">
      <alignment horizontal="center" vertical="center" wrapText="1"/>
    </xf>
    <xf numFmtId="167" fontId="77" fillId="0" borderId="16" xfId="0" applyNumberFormat="1" applyFont="1" applyFill="1" applyBorder="1" applyAlignment="1">
      <alignment horizontal="center" vertical="center" wrapText="1"/>
    </xf>
    <xf numFmtId="14" fontId="77" fillId="0" borderId="16" xfId="0" quotePrefix="1" applyNumberFormat="1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/>
    </xf>
  </cellXfs>
  <cellStyles count="3">
    <cellStyle name="Currency" xfId="1" builtinId="4"/>
    <cellStyle name="Normal" xfId="0" builtinId="0"/>
    <cellStyle name="Normal 2" xfId="2"/>
  </cellStyles>
  <dxfs count="0"/>
  <tableStyles count="0" defaultTableStyle="TableStyleMedium9" defaultPivotStyle="PivotStyleLight16"/>
  <colors>
    <mruColors>
      <color rgb="FFFF99CC"/>
      <color rgb="FFFFFF66"/>
      <color rgb="FFFF5050"/>
      <color rgb="FFFFFF99"/>
      <color rgb="FF0000FF"/>
      <color rgb="FFEAEAEA"/>
      <color rgb="FFFFFFCC"/>
      <color rgb="FF1C096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210"/>
  <sheetViews>
    <sheetView tabSelected="1" zoomScaleNormal="100" zoomScaleSheetLayoutView="91" workbookViewId="0">
      <selection activeCell="A9" sqref="A9"/>
    </sheetView>
  </sheetViews>
  <sheetFormatPr defaultRowHeight="14.25" x14ac:dyDescent="0.2"/>
  <cols>
    <col min="1" max="6" width="31.28515625" style="199" customWidth="1"/>
    <col min="7" max="16384" width="9.140625" style="199"/>
  </cols>
  <sheetData>
    <row r="1" spans="1:7" s="197" customFormat="1" ht="27.75" customHeight="1" x14ac:dyDescent="0.25">
      <c r="A1" s="194" t="s">
        <v>158</v>
      </c>
      <c r="B1" s="195"/>
      <c r="C1" s="195"/>
      <c r="D1" s="195"/>
      <c r="E1" s="196"/>
      <c r="F1" s="195"/>
    </row>
    <row r="2" spans="1:7" s="198" customFormat="1" ht="15.75" customHeight="1" x14ac:dyDescent="0.25">
      <c r="A2" s="194"/>
      <c r="B2" s="195"/>
      <c r="C2" s="195"/>
      <c r="D2" s="195"/>
      <c r="E2" s="735" t="s">
        <v>1584</v>
      </c>
      <c r="F2" s="736"/>
    </row>
    <row r="3" spans="1:7" s="202" customFormat="1" ht="15.75" customHeight="1" x14ac:dyDescent="0.2">
      <c r="A3" s="271" t="s">
        <v>1344</v>
      </c>
      <c r="B3" s="271" t="s">
        <v>1362</v>
      </c>
      <c r="C3" s="271" t="s">
        <v>1342</v>
      </c>
      <c r="D3" s="271" t="s">
        <v>1343</v>
      </c>
      <c r="E3" s="271" t="s">
        <v>885</v>
      </c>
      <c r="F3" s="271" t="s">
        <v>25</v>
      </c>
      <c r="G3" s="479"/>
    </row>
    <row r="4" spans="1:7" s="202" customFormat="1" ht="15.75" customHeight="1" x14ac:dyDescent="0.2">
      <c r="A4" s="289" t="s">
        <v>942</v>
      </c>
      <c r="B4" s="291" t="s">
        <v>963</v>
      </c>
      <c r="C4" s="289" t="s">
        <v>1015</v>
      </c>
      <c r="D4" s="289" t="s">
        <v>1015</v>
      </c>
      <c r="E4" s="289" t="s">
        <v>1382</v>
      </c>
      <c r="F4" s="289" t="s">
        <v>1382</v>
      </c>
    </row>
    <row r="5" spans="1:7" s="202" customFormat="1" ht="15.75" customHeight="1" x14ac:dyDescent="0.2">
      <c r="A5" s="289" t="s">
        <v>146</v>
      </c>
      <c r="B5" s="291" t="s">
        <v>73</v>
      </c>
      <c r="C5" s="289" t="s">
        <v>157</v>
      </c>
      <c r="D5" s="289" t="s">
        <v>157</v>
      </c>
      <c r="E5" s="289" t="s">
        <v>157</v>
      </c>
      <c r="F5" s="289" t="s">
        <v>157</v>
      </c>
    </row>
    <row r="6" spans="1:7" s="202" customFormat="1" ht="15.75" customHeight="1" x14ac:dyDescent="0.2">
      <c r="A6" s="289" t="s">
        <v>1040</v>
      </c>
      <c r="B6" s="291" t="s">
        <v>1361</v>
      </c>
      <c r="C6" s="289" t="s">
        <v>1017</v>
      </c>
      <c r="D6" s="289" t="s">
        <v>1356</v>
      </c>
      <c r="E6" s="289" t="s">
        <v>1428</v>
      </c>
      <c r="F6" s="289" t="s">
        <v>1416</v>
      </c>
    </row>
    <row r="7" spans="1:7" s="202" customFormat="1" ht="15.75" customHeight="1" x14ac:dyDescent="0.2">
      <c r="A7" s="290" t="s">
        <v>219</v>
      </c>
      <c r="B7" s="290" t="s">
        <v>219</v>
      </c>
      <c r="C7" s="293" t="s">
        <v>1346</v>
      </c>
      <c r="D7" s="293" t="s">
        <v>1346</v>
      </c>
      <c r="E7" s="293" t="s">
        <v>1346</v>
      </c>
      <c r="F7" s="293" t="s">
        <v>1346</v>
      </c>
    </row>
    <row r="8" spans="1:7" s="202" customFormat="1" ht="15.75" customHeight="1" x14ac:dyDescent="0.2">
      <c r="A8" s="290" t="s">
        <v>1408</v>
      </c>
      <c r="B8" s="729" t="s">
        <v>1396</v>
      </c>
      <c r="C8" s="401" t="s">
        <v>244</v>
      </c>
      <c r="D8" s="401" t="s">
        <v>244</v>
      </c>
      <c r="E8" s="401" t="s">
        <v>1408</v>
      </c>
      <c r="F8" s="401" t="s">
        <v>1408</v>
      </c>
    </row>
    <row r="9" spans="1:7" s="202" customFormat="1" ht="15.75" customHeight="1" x14ac:dyDescent="0.2">
      <c r="A9" s="290" t="s">
        <v>20</v>
      </c>
      <c r="B9" s="293" t="s">
        <v>479</v>
      </c>
      <c r="C9" s="290" t="s">
        <v>1232</v>
      </c>
      <c r="D9" s="290" t="s">
        <v>1232</v>
      </c>
      <c r="E9" s="290" t="s">
        <v>19</v>
      </c>
      <c r="F9" s="290" t="s">
        <v>19</v>
      </c>
    </row>
    <row r="10" spans="1:7" s="202" customFormat="1" ht="15.75" customHeight="1" x14ac:dyDescent="0.2">
      <c r="A10" s="289" t="s">
        <v>480</v>
      </c>
      <c r="B10" s="293" t="s">
        <v>964</v>
      </c>
      <c r="C10" s="289" t="s">
        <v>16</v>
      </c>
      <c r="D10" s="289" t="s">
        <v>16</v>
      </c>
      <c r="E10" s="289" t="s">
        <v>16</v>
      </c>
      <c r="F10" s="289" t="s">
        <v>16</v>
      </c>
    </row>
    <row r="11" spans="1:7" s="202" customFormat="1" ht="15.75" customHeight="1" x14ac:dyDescent="0.2">
      <c r="A11" s="289" t="s">
        <v>150</v>
      </c>
      <c r="B11" s="293" t="s">
        <v>15</v>
      </c>
      <c r="C11" s="289" t="s">
        <v>13</v>
      </c>
      <c r="D11" s="289" t="s">
        <v>13</v>
      </c>
      <c r="E11" s="289" t="s">
        <v>150</v>
      </c>
      <c r="F11" s="289" t="s">
        <v>150</v>
      </c>
    </row>
    <row r="12" spans="1:7" s="202" customFormat="1" ht="15.75" customHeight="1" x14ac:dyDescent="0.2">
      <c r="A12" s="289" t="s">
        <v>164</v>
      </c>
      <c r="B12" s="293" t="s">
        <v>205</v>
      </c>
      <c r="C12" s="289" t="s">
        <v>164</v>
      </c>
      <c r="D12" s="289" t="s">
        <v>164</v>
      </c>
      <c r="E12" s="289" t="s">
        <v>164</v>
      </c>
      <c r="F12" s="289" t="s">
        <v>164</v>
      </c>
    </row>
    <row r="13" spans="1:7" s="202" customFormat="1" ht="15.75" customHeight="1" x14ac:dyDescent="0.2">
      <c r="A13" s="289" t="s">
        <v>1005</v>
      </c>
      <c r="B13" s="293" t="s">
        <v>960</v>
      </c>
      <c r="C13" s="289" t="s">
        <v>1011</v>
      </c>
      <c r="D13" s="289" t="s">
        <v>931</v>
      </c>
      <c r="E13" s="289" t="s">
        <v>939</v>
      </c>
      <c r="F13" s="289" t="s">
        <v>1359</v>
      </c>
    </row>
    <row r="14" spans="1:7" s="202" customFormat="1" ht="15.75" customHeight="1" x14ac:dyDescent="0.2">
      <c r="A14" s="289" t="s">
        <v>1122</v>
      </c>
      <c r="B14" s="293" t="s">
        <v>1394</v>
      </c>
      <c r="C14" s="289" t="s">
        <v>941</v>
      </c>
      <c r="D14" s="289" t="s">
        <v>941</v>
      </c>
      <c r="E14" s="289" t="s">
        <v>996</v>
      </c>
      <c r="F14" s="289" t="s">
        <v>1122</v>
      </c>
    </row>
    <row r="15" spans="1:7" s="202" customFormat="1" ht="15.75" customHeight="1" x14ac:dyDescent="0.2">
      <c r="A15" s="289" t="s">
        <v>944</v>
      </c>
      <c r="B15" s="293" t="s">
        <v>1020</v>
      </c>
      <c r="C15" s="289" t="s">
        <v>1016</v>
      </c>
      <c r="D15" s="289" t="s">
        <v>1016</v>
      </c>
      <c r="E15" s="289" t="s">
        <v>1035</v>
      </c>
      <c r="F15" s="289" t="s">
        <v>1035</v>
      </c>
    </row>
    <row r="16" spans="1:7" s="202" customFormat="1" ht="15.75" customHeight="1" x14ac:dyDescent="0.2">
      <c r="A16" s="271" t="s">
        <v>1484</v>
      </c>
      <c r="B16" s="271" t="s">
        <v>1347</v>
      </c>
      <c r="C16" s="271" t="s">
        <v>1</v>
      </c>
      <c r="D16" s="271" t="s">
        <v>2</v>
      </c>
      <c r="E16" s="271" t="s">
        <v>885</v>
      </c>
      <c r="F16" s="271" t="s">
        <v>1668</v>
      </c>
    </row>
    <row r="17" spans="1:6" s="202" customFormat="1" ht="15.75" customHeight="1" x14ac:dyDescent="0.2">
      <c r="A17" s="295" t="s">
        <v>1076</v>
      </c>
      <c r="B17" s="295" t="s">
        <v>1188</v>
      </c>
      <c r="C17" s="295" t="s">
        <v>881</v>
      </c>
      <c r="D17" s="295" t="s">
        <v>883</v>
      </c>
      <c r="E17" s="289" t="s">
        <v>1036</v>
      </c>
      <c r="F17" s="295" t="s">
        <v>1582</v>
      </c>
    </row>
    <row r="18" spans="1:6" s="202" customFormat="1" ht="15.75" customHeight="1" x14ac:dyDescent="0.2">
      <c r="A18" s="294" t="s">
        <v>73</v>
      </c>
      <c r="B18" s="294" t="s">
        <v>73</v>
      </c>
      <c r="C18" s="294" t="s">
        <v>73</v>
      </c>
      <c r="D18" s="294" t="s">
        <v>73</v>
      </c>
      <c r="E18" s="289" t="s">
        <v>157</v>
      </c>
      <c r="F18" s="294" t="s">
        <v>73</v>
      </c>
    </row>
    <row r="19" spans="1:6" s="202" customFormat="1" ht="15.75" customHeight="1" x14ac:dyDescent="0.2">
      <c r="A19" s="289" t="s">
        <v>1426</v>
      </c>
      <c r="B19" s="289" t="s">
        <v>1191</v>
      </c>
      <c r="C19" s="289" t="s">
        <v>1490</v>
      </c>
      <c r="D19" s="289" t="s">
        <v>1426</v>
      </c>
      <c r="E19" s="289" t="s">
        <v>1058</v>
      </c>
      <c r="F19" s="289" t="s">
        <v>1672</v>
      </c>
    </row>
    <row r="20" spans="1:6" s="202" customFormat="1" ht="15.75" customHeight="1" x14ac:dyDescent="0.2">
      <c r="A20" s="293" t="s">
        <v>41</v>
      </c>
      <c r="B20" s="293" t="s">
        <v>41</v>
      </c>
      <c r="C20" s="293" t="s">
        <v>41</v>
      </c>
      <c r="D20" s="293" t="s">
        <v>41</v>
      </c>
      <c r="E20" s="293" t="s">
        <v>1346</v>
      </c>
      <c r="F20" s="293" t="s">
        <v>41</v>
      </c>
    </row>
    <row r="21" spans="1:6" s="202" customFormat="1" ht="15.75" customHeight="1" x14ac:dyDescent="0.2">
      <c r="A21" s="293" t="s">
        <v>1060</v>
      </c>
      <c r="B21" s="293" t="s">
        <v>1060</v>
      </c>
      <c r="C21" s="293" t="s">
        <v>163</v>
      </c>
      <c r="D21" s="293" t="s">
        <v>795</v>
      </c>
      <c r="E21" s="401" t="s">
        <v>1408</v>
      </c>
      <c r="F21" s="293" t="s">
        <v>1046</v>
      </c>
    </row>
    <row r="22" spans="1:6" s="202" customFormat="1" ht="16.5" customHeight="1" x14ac:dyDescent="0.2">
      <c r="A22" s="293" t="s">
        <v>149</v>
      </c>
      <c r="B22" s="293" t="s">
        <v>233</v>
      </c>
      <c r="C22" s="293" t="s">
        <v>298</v>
      </c>
      <c r="D22" s="293" t="s">
        <v>20</v>
      </c>
      <c r="E22" s="290" t="s">
        <v>19</v>
      </c>
      <c r="F22" s="293" t="s">
        <v>19</v>
      </c>
    </row>
    <row r="23" spans="1:6" s="202" customFormat="1" ht="15.75" customHeight="1" x14ac:dyDescent="0.2">
      <c r="A23" s="294" t="s">
        <v>684</v>
      </c>
      <c r="B23" s="294" t="s">
        <v>1190</v>
      </c>
      <c r="C23" s="294" t="s">
        <v>684</v>
      </c>
      <c r="D23" s="294" t="s">
        <v>684</v>
      </c>
      <c r="E23" s="289" t="s">
        <v>16</v>
      </c>
      <c r="F23" s="294" t="s">
        <v>1190</v>
      </c>
    </row>
    <row r="24" spans="1:6" s="202" customFormat="1" ht="15.75" customHeight="1" x14ac:dyDescent="0.2">
      <c r="A24" s="294" t="s">
        <v>162</v>
      </c>
      <c r="B24" s="294" t="s">
        <v>162</v>
      </c>
      <c r="C24" s="294" t="s">
        <v>13</v>
      </c>
      <c r="D24" s="294" t="s">
        <v>796</v>
      </c>
      <c r="E24" s="289" t="s">
        <v>150</v>
      </c>
      <c r="F24" s="294" t="s">
        <v>150</v>
      </c>
    </row>
    <row r="25" spans="1:6" s="202" customFormat="1" ht="15.75" customHeight="1" x14ac:dyDescent="0.2">
      <c r="A25" s="294" t="s">
        <v>205</v>
      </c>
      <c r="B25" s="294" t="s">
        <v>205</v>
      </c>
      <c r="C25" s="294" t="s">
        <v>205</v>
      </c>
      <c r="D25" s="294" t="s">
        <v>205</v>
      </c>
      <c r="E25" s="289" t="s">
        <v>164</v>
      </c>
      <c r="F25" s="294" t="s">
        <v>164</v>
      </c>
    </row>
    <row r="26" spans="1:6" s="202" customFormat="1" ht="15.75" customHeight="1" x14ac:dyDescent="0.2">
      <c r="A26" s="289" t="s">
        <v>1124</v>
      </c>
      <c r="B26" s="289" t="s">
        <v>1089</v>
      </c>
      <c r="C26" s="289" t="s">
        <v>1089</v>
      </c>
      <c r="D26" s="289" t="s">
        <v>1089</v>
      </c>
      <c r="E26" s="289" t="s">
        <v>1174</v>
      </c>
      <c r="F26" s="289" t="s">
        <v>1124</v>
      </c>
    </row>
    <row r="27" spans="1:6" s="202" customFormat="1" ht="15.75" customHeight="1" x14ac:dyDescent="0.2">
      <c r="A27" s="295" t="s">
        <v>1481</v>
      </c>
      <c r="B27" s="295" t="s">
        <v>1067</v>
      </c>
      <c r="C27" s="295" t="s">
        <v>1480</v>
      </c>
      <c r="D27" s="295" t="s">
        <v>1483</v>
      </c>
      <c r="E27" s="289" t="s">
        <v>1047</v>
      </c>
      <c r="F27" s="295" t="s">
        <v>1645</v>
      </c>
    </row>
    <row r="28" spans="1:6" s="202" customFormat="1" ht="15.75" customHeight="1" x14ac:dyDescent="0.2">
      <c r="A28" s="294" t="s">
        <v>1074</v>
      </c>
      <c r="B28" s="294" t="s">
        <v>1189</v>
      </c>
      <c r="C28" s="294" t="s">
        <v>1074</v>
      </c>
      <c r="D28" s="294" t="s">
        <v>1074</v>
      </c>
      <c r="E28" s="289" t="s">
        <v>1062</v>
      </c>
      <c r="F28" s="294" t="s">
        <v>1583</v>
      </c>
    </row>
    <row r="29" spans="1:6" s="202" customFormat="1" ht="15.75" customHeight="1" x14ac:dyDescent="0.2">
      <c r="A29" s="271" t="s">
        <v>0</v>
      </c>
      <c r="B29" s="271" t="s">
        <v>4</v>
      </c>
      <c r="C29" s="271" t="s">
        <v>1632</v>
      </c>
      <c r="D29" s="271" t="s">
        <v>1491</v>
      </c>
      <c r="E29" s="271" t="s">
        <v>885</v>
      </c>
      <c r="F29" s="271" t="s">
        <v>1824</v>
      </c>
    </row>
    <row r="30" spans="1:6" s="202" customFormat="1" ht="15.75" customHeight="1" x14ac:dyDescent="0.2">
      <c r="A30" s="295" t="s">
        <v>1077</v>
      </c>
      <c r="B30" s="295" t="s">
        <v>1100</v>
      </c>
      <c r="C30" s="289" t="s">
        <v>1633</v>
      </c>
      <c r="D30" s="289" t="s">
        <v>1158</v>
      </c>
      <c r="E30" s="289" t="s">
        <v>1492</v>
      </c>
      <c r="F30" s="289" t="s">
        <v>1605</v>
      </c>
    </row>
    <row r="31" spans="1:6" s="202" customFormat="1" ht="15.75" customHeight="1" x14ac:dyDescent="0.2">
      <c r="A31" s="294" t="s">
        <v>73</v>
      </c>
      <c r="B31" s="294" t="s">
        <v>73</v>
      </c>
      <c r="C31" s="289" t="s">
        <v>165</v>
      </c>
      <c r="D31" s="289" t="s">
        <v>157</v>
      </c>
      <c r="E31" s="289" t="s">
        <v>148</v>
      </c>
      <c r="F31" s="289" t="s">
        <v>146</v>
      </c>
    </row>
    <row r="32" spans="1:6" s="480" customFormat="1" ht="15.75" customHeight="1" x14ac:dyDescent="0.2">
      <c r="A32" s="289" t="s">
        <v>1078</v>
      </c>
      <c r="B32" s="289" t="s">
        <v>1102</v>
      </c>
      <c r="C32" s="289" t="s">
        <v>1634</v>
      </c>
      <c r="D32" s="289" t="s">
        <v>1157</v>
      </c>
      <c r="E32" s="289" t="s">
        <v>1493</v>
      </c>
      <c r="F32" s="289" t="s">
        <v>1825</v>
      </c>
    </row>
    <row r="33" spans="1:6" s="202" customFormat="1" ht="15.75" customHeight="1" x14ac:dyDescent="0.2">
      <c r="A33" s="290" t="s">
        <v>161</v>
      </c>
      <c r="B33" s="293" t="s">
        <v>41</v>
      </c>
      <c r="C33" s="293" t="s">
        <v>161</v>
      </c>
      <c r="D33" s="293" t="s">
        <v>41</v>
      </c>
      <c r="E33" s="293" t="s">
        <v>1346</v>
      </c>
      <c r="F33" s="290" t="s">
        <v>161</v>
      </c>
    </row>
    <row r="34" spans="1:6" s="202" customFormat="1" ht="15.75" customHeight="1" x14ac:dyDescent="0.2">
      <c r="A34" s="293" t="s">
        <v>1079</v>
      </c>
      <c r="B34" s="293" t="s">
        <v>1104</v>
      </c>
      <c r="C34" s="290" t="s">
        <v>1019</v>
      </c>
      <c r="D34" s="401" t="s">
        <v>163</v>
      </c>
      <c r="E34" s="290" t="s">
        <v>31</v>
      </c>
      <c r="F34" s="290" t="s">
        <v>1046</v>
      </c>
    </row>
    <row r="35" spans="1:6" s="202" customFormat="1" ht="15.75" customHeight="1" x14ac:dyDescent="0.2">
      <c r="A35" s="293" t="s">
        <v>1080</v>
      </c>
      <c r="B35" s="293" t="s">
        <v>1105</v>
      </c>
      <c r="C35" s="290" t="s">
        <v>1232</v>
      </c>
      <c r="D35" s="290" t="s">
        <v>463</v>
      </c>
      <c r="E35" s="290" t="s">
        <v>49</v>
      </c>
      <c r="F35" s="290" t="s">
        <v>610</v>
      </c>
    </row>
    <row r="36" spans="1:6" s="202" customFormat="1" ht="15.75" customHeight="1" x14ac:dyDescent="0.2">
      <c r="A36" s="294" t="s">
        <v>1081</v>
      </c>
      <c r="B36" s="294" t="s">
        <v>1106</v>
      </c>
      <c r="C36" s="289" t="s">
        <v>1630</v>
      </c>
      <c r="D36" s="289" t="s">
        <v>1160</v>
      </c>
      <c r="E36" s="289" t="s">
        <v>480</v>
      </c>
      <c r="F36" s="289" t="s">
        <v>480</v>
      </c>
    </row>
    <row r="37" spans="1:6" s="202" customFormat="1" ht="15.75" customHeight="1" x14ac:dyDescent="0.2">
      <c r="A37" s="294" t="s">
        <v>1082</v>
      </c>
      <c r="B37" s="294" t="s">
        <v>930</v>
      </c>
      <c r="C37" s="289" t="s">
        <v>14</v>
      </c>
      <c r="D37" s="289" t="s">
        <v>13</v>
      </c>
      <c r="E37" s="289" t="s">
        <v>15</v>
      </c>
      <c r="F37" s="289" t="s">
        <v>150</v>
      </c>
    </row>
    <row r="38" spans="1:6" s="202" customFormat="1" ht="15.75" customHeight="1" x14ac:dyDescent="0.2">
      <c r="A38" s="294" t="s">
        <v>1071</v>
      </c>
      <c r="B38" s="294" t="s">
        <v>205</v>
      </c>
      <c r="C38" s="289" t="s">
        <v>203</v>
      </c>
      <c r="D38" s="289" t="s">
        <v>1161</v>
      </c>
      <c r="E38" s="289" t="s">
        <v>164</v>
      </c>
      <c r="F38" s="289" t="s">
        <v>164</v>
      </c>
    </row>
    <row r="39" spans="1:6" s="202" customFormat="1" ht="15.75" customHeight="1" x14ac:dyDescent="0.2">
      <c r="A39" s="289" t="s">
        <v>1223</v>
      </c>
      <c r="B39" s="289" t="s">
        <v>1146</v>
      </c>
      <c r="C39" s="289" t="s">
        <v>1244</v>
      </c>
      <c r="D39" s="289" t="s">
        <v>1146</v>
      </c>
      <c r="E39" s="289" t="s">
        <v>1103</v>
      </c>
      <c r="F39" s="289" t="s">
        <v>1519</v>
      </c>
    </row>
    <row r="40" spans="1:6" s="202" customFormat="1" ht="15.75" customHeight="1" x14ac:dyDescent="0.2">
      <c r="A40" s="295" t="s">
        <v>1482</v>
      </c>
      <c r="B40" s="295" t="s">
        <v>1481</v>
      </c>
      <c r="C40" s="289" t="s">
        <v>1533</v>
      </c>
      <c r="D40" s="289" t="s">
        <v>1186</v>
      </c>
      <c r="E40" s="289" t="s">
        <v>1207</v>
      </c>
      <c r="F40" s="289" t="s">
        <v>1590</v>
      </c>
    </row>
    <row r="41" spans="1:6" s="202" customFormat="1" ht="15.75" customHeight="1" x14ac:dyDescent="0.2">
      <c r="A41" s="294" t="s">
        <v>1084</v>
      </c>
      <c r="B41" s="294" t="s">
        <v>1101</v>
      </c>
      <c r="C41" s="289" t="s">
        <v>1635</v>
      </c>
      <c r="D41" s="289" t="s">
        <v>1162</v>
      </c>
      <c r="E41" s="289" t="s">
        <v>1494</v>
      </c>
      <c r="F41" s="289" t="s">
        <v>1516</v>
      </c>
    </row>
    <row r="42" spans="1:6" s="202" customFormat="1" ht="15.75" customHeight="1" x14ac:dyDescent="0.2">
      <c r="A42" s="271" t="s">
        <v>0</v>
      </c>
      <c r="B42" s="271" t="s">
        <v>1587</v>
      </c>
      <c r="C42" s="271" t="s">
        <v>1</v>
      </c>
      <c r="D42" s="271" t="s">
        <v>1491</v>
      </c>
      <c r="E42" s="271" t="s">
        <v>885</v>
      </c>
      <c r="F42" s="271" t="s">
        <v>25</v>
      </c>
    </row>
    <row r="43" spans="1:6" s="202" customFormat="1" ht="15.75" customHeight="1" x14ac:dyDescent="0.2">
      <c r="A43" s="289" t="s">
        <v>1725</v>
      </c>
      <c r="B43" s="289" t="s">
        <v>1500</v>
      </c>
      <c r="C43" s="289"/>
      <c r="D43" s="289" t="s">
        <v>1588</v>
      </c>
      <c r="E43" s="289" t="s">
        <v>1500</v>
      </c>
      <c r="F43" s="291"/>
    </row>
    <row r="44" spans="1:6" s="202" customFormat="1" ht="15.75" customHeight="1" x14ac:dyDescent="0.2">
      <c r="A44" s="289" t="s">
        <v>165</v>
      </c>
      <c r="B44" s="289" t="s">
        <v>157</v>
      </c>
      <c r="C44" s="289"/>
      <c r="D44" s="289" t="s">
        <v>157</v>
      </c>
      <c r="E44" s="289" t="s">
        <v>157</v>
      </c>
      <c r="F44" s="291"/>
    </row>
    <row r="45" spans="1:6" s="202" customFormat="1" ht="15.75" customHeight="1" x14ac:dyDescent="0.2">
      <c r="A45" s="289" t="s">
        <v>1726</v>
      </c>
      <c r="B45" s="289" t="s">
        <v>1586</v>
      </c>
      <c r="C45" s="289"/>
      <c r="D45" s="289" t="s">
        <v>1159</v>
      </c>
      <c r="E45" s="289" t="s">
        <v>1585</v>
      </c>
      <c r="F45" s="291"/>
    </row>
    <row r="46" spans="1:6" s="202" customFormat="1" ht="15.75" customHeight="1" x14ac:dyDescent="0.2">
      <c r="A46" s="293" t="s">
        <v>161</v>
      </c>
      <c r="B46" s="293" t="s">
        <v>41</v>
      </c>
      <c r="C46" s="290"/>
      <c r="D46" s="293" t="s">
        <v>41</v>
      </c>
      <c r="E46" s="293" t="s">
        <v>41</v>
      </c>
      <c r="F46" s="290"/>
    </row>
    <row r="47" spans="1:6" s="202" customFormat="1" ht="15.75" customHeight="1" x14ac:dyDescent="0.2">
      <c r="A47" s="290" t="s">
        <v>1297</v>
      </c>
      <c r="B47" s="401" t="s">
        <v>1151</v>
      </c>
      <c r="C47" s="290"/>
      <c r="D47" s="401" t="s">
        <v>163</v>
      </c>
      <c r="E47" s="401" t="s">
        <v>1151</v>
      </c>
      <c r="F47" s="291"/>
    </row>
    <row r="48" spans="1:6" s="202" customFormat="1" ht="15.75" customHeight="1" x14ac:dyDescent="0.2">
      <c r="A48" s="290" t="s">
        <v>873</v>
      </c>
      <c r="B48" s="290" t="s">
        <v>99</v>
      </c>
      <c r="C48" s="290"/>
      <c r="D48" s="290" t="s">
        <v>873</v>
      </c>
      <c r="E48" s="290" t="s">
        <v>99</v>
      </c>
      <c r="F48" s="291"/>
    </row>
    <row r="49" spans="1:6" s="202" customFormat="1" ht="15.75" customHeight="1" x14ac:dyDescent="0.2">
      <c r="A49" s="289" t="s">
        <v>508</v>
      </c>
      <c r="B49" s="289" t="s">
        <v>16</v>
      </c>
      <c r="C49" s="289"/>
      <c r="D49" s="289" t="s">
        <v>1160</v>
      </c>
      <c r="E49" s="289" t="s">
        <v>16</v>
      </c>
      <c r="F49" s="291"/>
    </row>
    <row r="50" spans="1:6" s="202" customFormat="1" ht="15.75" customHeight="1" x14ac:dyDescent="0.2">
      <c r="A50" s="289" t="s">
        <v>1294</v>
      </c>
      <c r="B50" s="289" t="s">
        <v>1152</v>
      </c>
      <c r="C50" s="289"/>
      <c r="D50" s="289" t="s">
        <v>13</v>
      </c>
      <c r="E50" s="289" t="s">
        <v>1152</v>
      </c>
      <c r="F50" s="291"/>
    </row>
    <row r="51" spans="1:6" s="202" customFormat="1" ht="15.75" customHeight="1" x14ac:dyDescent="0.2">
      <c r="A51" s="289" t="s">
        <v>203</v>
      </c>
      <c r="B51" s="289" t="s">
        <v>164</v>
      </c>
      <c r="C51" s="289"/>
      <c r="D51" s="289" t="s">
        <v>1161</v>
      </c>
      <c r="E51" s="289" t="s">
        <v>164</v>
      </c>
      <c r="F51" s="291"/>
    </row>
    <row r="52" spans="1:6" s="202" customFormat="1" ht="15.75" customHeight="1" x14ac:dyDescent="0.2">
      <c r="A52" s="289" t="s">
        <v>1690</v>
      </c>
      <c r="B52" s="289" t="s">
        <v>1223</v>
      </c>
      <c r="C52" s="289"/>
      <c r="D52" s="289" t="s">
        <v>1469</v>
      </c>
      <c r="E52" s="289" t="s">
        <v>1267</v>
      </c>
      <c r="F52" s="291"/>
    </row>
    <row r="53" spans="1:6" s="202" customFormat="1" ht="15.75" customHeight="1" x14ac:dyDescent="0.2">
      <c r="A53" s="289" t="s">
        <v>1590</v>
      </c>
      <c r="B53" s="289" t="s">
        <v>1533</v>
      </c>
      <c r="C53" s="289"/>
      <c r="D53" s="289" t="s">
        <v>1592</v>
      </c>
      <c r="E53" s="289" t="s">
        <v>1533</v>
      </c>
      <c r="F53" s="291"/>
    </row>
    <row r="54" spans="1:6" s="202" customFormat="1" ht="15.75" customHeight="1" x14ac:dyDescent="0.2">
      <c r="A54" s="289" t="s">
        <v>1727</v>
      </c>
      <c r="B54" s="289" t="s">
        <v>1499</v>
      </c>
      <c r="C54" s="289"/>
      <c r="D54" s="289" t="s">
        <v>1589</v>
      </c>
      <c r="E54" s="289" t="s">
        <v>1499</v>
      </c>
      <c r="F54" s="291"/>
    </row>
    <row r="55" spans="1:6" s="202" customFormat="1" ht="15.75" customHeight="1" x14ac:dyDescent="0.2">
      <c r="A55" s="271" t="s">
        <v>0</v>
      </c>
      <c r="B55" s="271" t="s">
        <v>1587</v>
      </c>
      <c r="C55" s="271" t="s">
        <v>1</v>
      </c>
      <c r="D55" s="271" t="s">
        <v>2</v>
      </c>
      <c r="E55" s="271" t="s">
        <v>885</v>
      </c>
      <c r="F55" s="271" t="s">
        <v>25</v>
      </c>
    </row>
    <row r="56" spans="1:6" s="202" customFormat="1" ht="15.75" customHeight="1" x14ac:dyDescent="0.2">
      <c r="A56" s="291"/>
      <c r="B56" s="289" t="s">
        <v>1646</v>
      </c>
      <c r="C56" s="289"/>
      <c r="D56" s="291"/>
      <c r="E56" s="289" t="s">
        <v>1646</v>
      </c>
      <c r="F56" s="291"/>
    </row>
    <row r="57" spans="1:6" s="202" customFormat="1" ht="17.25" customHeight="1" x14ac:dyDescent="0.2">
      <c r="A57" s="291"/>
      <c r="B57" s="289" t="s">
        <v>157</v>
      </c>
      <c r="C57" s="289"/>
      <c r="D57" s="291"/>
      <c r="E57" s="289" t="s">
        <v>157</v>
      </c>
      <c r="F57" s="291"/>
    </row>
    <row r="58" spans="1:6" s="202" customFormat="1" ht="16.5" customHeight="1" x14ac:dyDescent="0.2">
      <c r="A58" s="291"/>
      <c r="B58" s="289" t="s">
        <v>1647</v>
      </c>
      <c r="C58" s="289"/>
      <c r="D58" s="291"/>
      <c r="E58" s="289" t="s">
        <v>1647</v>
      </c>
      <c r="F58" s="291"/>
    </row>
    <row r="59" spans="1:6" s="202" customFormat="1" ht="16.5" customHeight="1" x14ac:dyDescent="0.2">
      <c r="A59" s="291"/>
      <c r="B59" s="293" t="s">
        <v>41</v>
      </c>
      <c r="C59" s="290"/>
      <c r="D59" s="290"/>
      <c r="E59" s="293" t="s">
        <v>41</v>
      </c>
      <c r="F59" s="290"/>
    </row>
    <row r="60" spans="1:6" s="202" customFormat="1" ht="15.75" customHeight="1" x14ac:dyDescent="0.2">
      <c r="A60" s="291"/>
      <c r="B60" s="401" t="s">
        <v>1151</v>
      </c>
      <c r="C60" s="290"/>
      <c r="D60" s="291"/>
      <c r="E60" s="401" t="s">
        <v>1151</v>
      </c>
      <c r="F60" s="291"/>
    </row>
    <row r="61" spans="1:6" s="202" customFormat="1" ht="16.5" customHeight="1" x14ac:dyDescent="0.2">
      <c r="A61" s="291"/>
      <c r="B61" s="290" t="s">
        <v>99</v>
      </c>
      <c r="C61" s="290"/>
      <c r="D61" s="291"/>
      <c r="E61" s="290" t="s">
        <v>99</v>
      </c>
      <c r="F61" s="291"/>
    </row>
    <row r="62" spans="1:6" s="202" customFormat="1" ht="16.5" customHeight="1" x14ac:dyDescent="0.2">
      <c r="A62" s="291"/>
      <c r="B62" s="289" t="s">
        <v>16</v>
      </c>
      <c r="C62" s="289"/>
      <c r="D62" s="291"/>
      <c r="E62" s="289" t="s">
        <v>16</v>
      </c>
      <c r="F62" s="291"/>
    </row>
    <row r="63" spans="1:6" s="202" customFormat="1" ht="16.5" customHeight="1" x14ac:dyDescent="0.2">
      <c r="A63" s="291"/>
      <c r="B63" s="289" t="s">
        <v>1152</v>
      </c>
      <c r="C63" s="289"/>
      <c r="D63" s="291"/>
      <c r="E63" s="289" t="s">
        <v>1152</v>
      </c>
      <c r="F63" s="291"/>
    </row>
    <row r="64" spans="1:6" s="202" customFormat="1" ht="16.5" customHeight="1" x14ac:dyDescent="0.2">
      <c r="A64" s="291"/>
      <c r="B64" s="289" t="s">
        <v>164</v>
      </c>
      <c r="C64" s="289"/>
      <c r="D64" s="291"/>
      <c r="E64" s="289" t="s">
        <v>164</v>
      </c>
      <c r="F64" s="291"/>
    </row>
    <row r="65" spans="1:6" s="202" customFormat="1" ht="16.5" customHeight="1" x14ac:dyDescent="0.2">
      <c r="A65" s="291"/>
      <c r="B65" s="289" t="s">
        <v>1540</v>
      </c>
      <c r="C65" s="289"/>
      <c r="D65" s="291"/>
      <c r="E65" s="289" t="s">
        <v>1540</v>
      </c>
      <c r="F65" s="291"/>
    </row>
    <row r="66" spans="1:6" s="202" customFormat="1" ht="16.5" customHeight="1" x14ac:dyDescent="0.2">
      <c r="A66" s="291"/>
      <c r="B66" s="289" t="s">
        <v>1768</v>
      </c>
      <c r="C66" s="289"/>
      <c r="D66" s="291"/>
      <c r="E66" s="289" t="s">
        <v>1768</v>
      </c>
      <c r="F66" s="291"/>
    </row>
    <row r="67" spans="1:6" s="202" customFormat="1" ht="16.5" customHeight="1" x14ac:dyDescent="0.2">
      <c r="A67" s="291"/>
      <c r="B67" s="289" t="s">
        <v>1648</v>
      </c>
      <c r="C67" s="289"/>
      <c r="D67" s="291"/>
      <c r="E67" s="289" t="s">
        <v>1648</v>
      </c>
      <c r="F67" s="291"/>
    </row>
    <row r="68" spans="1:6" s="202" customFormat="1" ht="16.5" customHeight="1" x14ac:dyDescent="0.2">
      <c r="A68" s="271" t="s">
        <v>0</v>
      </c>
      <c r="B68" s="271" t="s">
        <v>4</v>
      </c>
      <c r="C68" s="271" t="s">
        <v>1</v>
      </c>
      <c r="D68" s="271" t="s">
        <v>2</v>
      </c>
      <c r="E68" s="271" t="s">
        <v>3</v>
      </c>
      <c r="F68" s="271" t="s">
        <v>25</v>
      </c>
    </row>
    <row r="69" spans="1:6" s="202" customFormat="1" ht="16.5" customHeight="1" x14ac:dyDescent="0.2">
      <c r="A69" s="291"/>
      <c r="B69" s="289"/>
      <c r="C69" s="289"/>
      <c r="D69" s="291"/>
      <c r="E69" s="289"/>
      <c r="F69" s="291"/>
    </row>
    <row r="70" spans="1:6" s="202" customFormat="1" ht="16.5" customHeight="1" x14ac:dyDescent="0.2">
      <c r="A70" s="291"/>
      <c r="B70" s="289"/>
      <c r="C70" s="289"/>
      <c r="D70" s="291"/>
      <c r="E70" s="289"/>
      <c r="F70" s="291"/>
    </row>
    <row r="71" spans="1:6" s="202" customFormat="1" ht="16.5" customHeight="1" x14ac:dyDescent="0.2">
      <c r="A71" s="291"/>
      <c r="B71" s="289"/>
      <c r="C71" s="289"/>
      <c r="D71" s="291"/>
      <c r="E71" s="289"/>
      <c r="F71" s="291"/>
    </row>
    <row r="72" spans="1:6" s="202" customFormat="1" ht="16.5" customHeight="1" x14ac:dyDescent="0.2">
      <c r="A72" s="291"/>
      <c r="B72" s="290"/>
      <c r="C72" s="290"/>
      <c r="D72" s="290"/>
      <c r="E72" s="293"/>
      <c r="F72" s="290"/>
    </row>
    <row r="73" spans="1:6" s="202" customFormat="1" ht="16.5" customHeight="1" x14ac:dyDescent="0.2">
      <c r="A73" s="291"/>
      <c r="B73" s="290"/>
      <c r="C73" s="290"/>
      <c r="D73" s="291"/>
      <c r="E73" s="290"/>
      <c r="F73" s="291"/>
    </row>
    <row r="74" spans="1:6" s="202" customFormat="1" ht="16.5" customHeight="1" x14ac:dyDescent="0.2">
      <c r="A74" s="291"/>
      <c r="B74" s="290"/>
      <c r="C74" s="290"/>
      <c r="D74" s="291"/>
      <c r="E74" s="290"/>
      <c r="F74" s="291"/>
    </row>
    <row r="75" spans="1:6" s="202" customFormat="1" ht="16.5" customHeight="1" x14ac:dyDescent="0.2">
      <c r="A75" s="291"/>
      <c r="B75" s="289"/>
      <c r="C75" s="289"/>
      <c r="D75" s="291"/>
      <c r="E75" s="289"/>
      <c r="F75" s="291"/>
    </row>
    <row r="76" spans="1:6" s="202" customFormat="1" ht="16.5" customHeight="1" x14ac:dyDescent="0.2">
      <c r="A76" s="291"/>
      <c r="B76" s="289"/>
      <c r="C76" s="289"/>
      <c r="D76" s="291"/>
      <c r="E76" s="289"/>
      <c r="F76" s="291"/>
    </row>
    <row r="77" spans="1:6" s="202" customFormat="1" ht="16.5" customHeight="1" x14ac:dyDescent="0.2">
      <c r="A77" s="291"/>
      <c r="B77" s="289"/>
      <c r="C77" s="289"/>
      <c r="D77" s="291"/>
      <c r="E77" s="289"/>
      <c r="F77" s="291"/>
    </row>
    <row r="78" spans="1:6" s="202" customFormat="1" ht="16.5" customHeight="1" x14ac:dyDescent="0.2">
      <c r="A78" s="291"/>
      <c r="B78" s="289"/>
      <c r="C78" s="289"/>
      <c r="D78" s="291"/>
      <c r="E78" s="289"/>
      <c r="F78" s="291"/>
    </row>
    <row r="79" spans="1:6" s="202" customFormat="1" ht="16.5" customHeight="1" x14ac:dyDescent="0.2">
      <c r="A79" s="291"/>
      <c r="B79" s="289"/>
      <c r="C79" s="289"/>
      <c r="D79" s="291"/>
      <c r="E79" s="289"/>
      <c r="F79" s="291"/>
    </row>
    <row r="80" spans="1:6" s="202" customFormat="1" ht="16.5" customHeight="1" x14ac:dyDescent="0.2">
      <c r="A80" s="291"/>
      <c r="B80" s="289"/>
      <c r="C80" s="289"/>
      <c r="D80" s="291"/>
      <c r="E80" s="289"/>
      <c r="F80" s="291"/>
    </row>
    <row r="81" spans="1:6" s="202" customFormat="1" ht="16.5" customHeight="1" x14ac:dyDescent="0.2">
      <c r="A81" s="271" t="s">
        <v>0</v>
      </c>
      <c r="B81" s="271" t="s">
        <v>4</v>
      </c>
      <c r="C81" s="271" t="s">
        <v>1</v>
      </c>
      <c r="D81" s="271" t="s">
        <v>2</v>
      </c>
      <c r="E81" s="271" t="s">
        <v>3</v>
      </c>
      <c r="F81" s="271" t="s">
        <v>25</v>
      </c>
    </row>
    <row r="82" spans="1:6" s="202" customFormat="1" ht="16.5" customHeight="1" x14ac:dyDescent="0.2">
      <c r="A82" s="291"/>
      <c r="B82" s="289"/>
      <c r="C82" s="289"/>
      <c r="D82" s="291"/>
      <c r="E82" s="289"/>
      <c r="F82" s="291"/>
    </row>
    <row r="83" spans="1:6" s="202" customFormat="1" ht="16.5" customHeight="1" x14ac:dyDescent="0.2">
      <c r="A83" s="291"/>
      <c r="B83" s="289"/>
      <c r="C83" s="289"/>
      <c r="D83" s="291"/>
      <c r="E83" s="289"/>
      <c r="F83" s="291"/>
    </row>
    <row r="84" spans="1:6" s="202" customFormat="1" ht="16.5" customHeight="1" x14ac:dyDescent="0.2">
      <c r="A84" s="291"/>
      <c r="B84" s="289"/>
      <c r="C84" s="289"/>
      <c r="D84" s="291"/>
      <c r="E84" s="289"/>
      <c r="F84" s="291"/>
    </row>
    <row r="85" spans="1:6" s="202" customFormat="1" ht="16.5" customHeight="1" x14ac:dyDescent="0.2">
      <c r="A85" s="291"/>
      <c r="B85" s="290"/>
      <c r="C85" s="290"/>
      <c r="D85" s="290"/>
      <c r="E85" s="293"/>
      <c r="F85" s="290"/>
    </row>
    <row r="86" spans="1:6" s="202" customFormat="1" ht="16.5" customHeight="1" x14ac:dyDescent="0.2">
      <c r="A86" s="291"/>
      <c r="B86" s="290"/>
      <c r="C86" s="290"/>
      <c r="D86" s="291"/>
      <c r="E86" s="290"/>
      <c r="F86" s="291"/>
    </row>
    <row r="87" spans="1:6" s="202" customFormat="1" ht="16.5" customHeight="1" x14ac:dyDescent="0.2">
      <c r="A87" s="291"/>
      <c r="B87" s="290"/>
      <c r="C87" s="290"/>
      <c r="D87" s="291"/>
      <c r="E87" s="290"/>
      <c r="F87" s="291"/>
    </row>
    <row r="88" spans="1:6" s="202" customFormat="1" ht="16.5" customHeight="1" x14ac:dyDescent="0.2">
      <c r="A88" s="291"/>
      <c r="B88" s="289"/>
      <c r="C88" s="289"/>
      <c r="D88" s="291"/>
      <c r="E88" s="289"/>
      <c r="F88" s="291"/>
    </row>
    <row r="89" spans="1:6" s="202" customFormat="1" ht="16.5" customHeight="1" x14ac:dyDescent="0.2">
      <c r="A89" s="291"/>
      <c r="B89" s="289"/>
      <c r="C89" s="289"/>
      <c r="D89" s="291"/>
      <c r="E89" s="289"/>
      <c r="F89" s="291"/>
    </row>
    <row r="90" spans="1:6" s="202" customFormat="1" ht="16.5" customHeight="1" x14ac:dyDescent="0.2">
      <c r="A90" s="291"/>
      <c r="B90" s="289"/>
      <c r="C90" s="289"/>
      <c r="D90" s="291"/>
      <c r="E90" s="289"/>
      <c r="F90" s="291"/>
    </row>
    <row r="91" spans="1:6" s="202" customFormat="1" ht="16.5" customHeight="1" x14ac:dyDescent="0.2">
      <c r="A91" s="291"/>
      <c r="B91" s="289"/>
      <c r="C91" s="289"/>
      <c r="D91" s="291"/>
      <c r="E91" s="289"/>
      <c r="F91" s="291"/>
    </row>
    <row r="92" spans="1:6" s="202" customFormat="1" ht="16.5" customHeight="1" x14ac:dyDescent="0.2">
      <c r="A92" s="291"/>
      <c r="B92" s="289"/>
      <c r="C92" s="289"/>
      <c r="D92" s="291"/>
      <c r="E92" s="289"/>
      <c r="F92" s="291"/>
    </row>
    <row r="93" spans="1:6" s="202" customFormat="1" ht="16.5" customHeight="1" x14ac:dyDescent="0.2">
      <c r="A93" s="291"/>
      <c r="B93" s="289"/>
      <c r="C93" s="289"/>
      <c r="D93" s="291"/>
      <c r="E93" s="289"/>
      <c r="F93" s="291"/>
    </row>
    <row r="94" spans="1:6" s="202" customFormat="1" ht="16.5" customHeight="1" x14ac:dyDescent="0.2">
      <c r="A94" s="271" t="s">
        <v>0</v>
      </c>
      <c r="B94" s="271" t="s">
        <v>4</v>
      </c>
      <c r="C94" s="271" t="s">
        <v>874</v>
      </c>
      <c r="D94" s="271" t="s">
        <v>2</v>
      </c>
      <c r="E94" s="271" t="s">
        <v>3</v>
      </c>
      <c r="F94" s="271" t="s">
        <v>25</v>
      </c>
    </row>
    <row r="95" spans="1:6" s="202" customFormat="1" ht="16.5" customHeight="1" x14ac:dyDescent="0.2">
      <c r="A95" s="291"/>
      <c r="B95" s="289"/>
      <c r="C95" s="289"/>
      <c r="D95" s="291"/>
      <c r="E95" s="289"/>
      <c r="F95" s="291"/>
    </row>
    <row r="96" spans="1:6" s="202" customFormat="1" ht="16.5" customHeight="1" x14ac:dyDescent="0.2">
      <c r="A96" s="291"/>
      <c r="B96" s="289"/>
      <c r="C96" s="289"/>
      <c r="D96" s="291"/>
      <c r="E96" s="289"/>
      <c r="F96" s="291"/>
    </row>
    <row r="97" spans="1:6" s="202" customFormat="1" ht="16.5" customHeight="1" x14ac:dyDescent="0.2">
      <c r="A97" s="291"/>
      <c r="B97" s="289"/>
      <c r="C97" s="289"/>
      <c r="D97" s="291"/>
      <c r="E97" s="289"/>
      <c r="F97" s="291"/>
    </row>
    <row r="98" spans="1:6" s="202" customFormat="1" ht="16.5" customHeight="1" x14ac:dyDescent="0.2">
      <c r="A98" s="289"/>
      <c r="B98" s="290"/>
      <c r="C98" s="293"/>
      <c r="D98" s="290"/>
      <c r="E98" s="293"/>
      <c r="F98" s="290"/>
    </row>
    <row r="99" spans="1:6" s="202" customFormat="1" ht="16.5" customHeight="1" x14ac:dyDescent="0.2">
      <c r="A99" s="291"/>
      <c r="B99" s="290"/>
      <c r="C99" s="290"/>
      <c r="D99" s="291"/>
      <c r="E99" s="290"/>
      <c r="F99" s="291"/>
    </row>
    <row r="100" spans="1:6" s="202" customFormat="1" ht="16.5" customHeight="1" x14ac:dyDescent="0.2">
      <c r="A100" s="291"/>
      <c r="B100" s="290"/>
      <c r="C100" s="290"/>
      <c r="D100" s="291"/>
      <c r="E100" s="290"/>
      <c r="F100" s="291"/>
    </row>
    <row r="101" spans="1:6" s="202" customFormat="1" ht="16.5" customHeight="1" x14ac:dyDescent="0.2">
      <c r="A101" s="291"/>
      <c r="B101" s="289"/>
      <c r="C101" s="289"/>
      <c r="D101" s="291"/>
      <c r="E101" s="289"/>
      <c r="F101" s="291"/>
    </row>
    <row r="102" spans="1:6" s="202" customFormat="1" ht="16.5" customHeight="1" x14ac:dyDescent="0.2">
      <c r="A102" s="291"/>
      <c r="B102" s="289"/>
      <c r="C102" s="289"/>
      <c r="D102" s="291"/>
      <c r="E102" s="289"/>
      <c r="F102" s="291"/>
    </row>
    <row r="103" spans="1:6" s="202" customFormat="1" ht="16.5" customHeight="1" x14ac:dyDescent="0.2">
      <c r="A103" s="291"/>
      <c r="B103" s="289"/>
      <c r="C103" s="289"/>
      <c r="D103" s="291"/>
      <c r="E103" s="289"/>
      <c r="F103" s="291"/>
    </row>
    <row r="104" spans="1:6" s="202" customFormat="1" ht="16.5" customHeight="1" x14ac:dyDescent="0.2">
      <c r="A104" s="291"/>
      <c r="B104" s="289"/>
      <c r="C104" s="289"/>
      <c r="D104" s="291"/>
      <c r="E104" s="289"/>
      <c r="F104" s="291"/>
    </row>
    <row r="105" spans="1:6" s="202" customFormat="1" ht="16.5" customHeight="1" x14ac:dyDescent="0.2">
      <c r="A105" s="291"/>
      <c r="B105" s="289"/>
      <c r="C105" s="289"/>
      <c r="D105" s="291"/>
      <c r="E105" s="289"/>
      <c r="F105" s="291"/>
    </row>
    <row r="106" spans="1:6" s="202" customFormat="1" ht="16.5" customHeight="1" x14ac:dyDescent="0.2">
      <c r="A106" s="291"/>
      <c r="B106" s="289"/>
      <c r="C106" s="289"/>
      <c r="D106" s="291"/>
      <c r="E106" s="289"/>
      <c r="F106" s="291"/>
    </row>
    <row r="107" spans="1:6" s="202" customFormat="1" ht="16.5" customHeight="1" x14ac:dyDescent="0.2">
      <c r="A107" s="271" t="s">
        <v>0</v>
      </c>
      <c r="B107" s="271" t="s">
        <v>4</v>
      </c>
      <c r="C107" s="271" t="s">
        <v>1</v>
      </c>
      <c r="D107" s="271" t="s">
        <v>2</v>
      </c>
      <c r="E107" s="271" t="s">
        <v>3</v>
      </c>
      <c r="F107" s="271" t="s">
        <v>25</v>
      </c>
    </row>
    <row r="108" spans="1:6" s="202" customFormat="1" ht="16.5" customHeight="1" x14ac:dyDescent="0.2">
      <c r="A108" s="291"/>
      <c r="B108" s="289"/>
      <c r="C108" s="289"/>
      <c r="D108" s="291"/>
      <c r="E108" s="289"/>
      <c r="F108" s="291"/>
    </row>
    <row r="109" spans="1:6" s="202" customFormat="1" ht="16.5" customHeight="1" x14ac:dyDescent="0.2">
      <c r="A109" s="291"/>
      <c r="B109" s="289"/>
      <c r="C109" s="289"/>
      <c r="D109" s="291"/>
      <c r="E109" s="289"/>
      <c r="F109" s="291"/>
    </row>
    <row r="110" spans="1:6" s="202" customFormat="1" ht="16.5" customHeight="1" x14ac:dyDescent="0.2">
      <c r="A110" s="291"/>
      <c r="B110" s="289"/>
      <c r="C110" s="289"/>
      <c r="D110" s="291"/>
      <c r="E110" s="289"/>
      <c r="F110" s="291"/>
    </row>
    <row r="111" spans="1:6" s="202" customFormat="1" ht="16.5" customHeight="1" x14ac:dyDescent="0.2">
      <c r="A111" s="289"/>
      <c r="B111" s="290"/>
      <c r="C111" s="290"/>
      <c r="D111" s="290"/>
      <c r="E111" s="290"/>
      <c r="F111" s="290"/>
    </row>
    <row r="112" spans="1:6" s="202" customFormat="1" ht="16.5" customHeight="1" x14ac:dyDescent="0.2">
      <c r="A112" s="291"/>
      <c r="B112" s="290"/>
      <c r="C112" s="290"/>
      <c r="D112" s="291"/>
      <c r="E112" s="290"/>
      <c r="F112" s="291"/>
    </row>
    <row r="113" spans="1:6" s="202" customFormat="1" ht="16.5" customHeight="1" x14ac:dyDescent="0.2">
      <c r="A113" s="291"/>
      <c r="B113" s="290"/>
      <c r="C113" s="290"/>
      <c r="D113" s="291"/>
      <c r="E113" s="290"/>
      <c r="F113" s="291"/>
    </row>
    <row r="114" spans="1:6" s="202" customFormat="1" ht="16.5" customHeight="1" x14ac:dyDescent="0.2">
      <c r="A114" s="291"/>
      <c r="B114" s="289"/>
      <c r="C114" s="289"/>
      <c r="D114" s="291"/>
      <c r="E114" s="289"/>
      <c r="F114" s="291"/>
    </row>
    <row r="115" spans="1:6" s="202" customFormat="1" ht="16.5" customHeight="1" x14ac:dyDescent="0.2">
      <c r="A115" s="291"/>
      <c r="B115" s="289"/>
      <c r="C115" s="289"/>
      <c r="D115" s="291"/>
      <c r="E115" s="289"/>
      <c r="F115" s="291"/>
    </row>
    <row r="116" spans="1:6" s="202" customFormat="1" ht="16.5" customHeight="1" x14ac:dyDescent="0.2">
      <c r="A116" s="291"/>
      <c r="B116" s="289"/>
      <c r="C116" s="289"/>
      <c r="D116" s="291"/>
      <c r="E116" s="289"/>
      <c r="F116" s="291"/>
    </row>
    <row r="117" spans="1:6" s="202" customFormat="1" ht="16.5" customHeight="1" x14ac:dyDescent="0.2">
      <c r="A117" s="291"/>
      <c r="B117" s="289"/>
      <c r="C117" s="289"/>
      <c r="D117" s="291"/>
      <c r="E117" s="289"/>
      <c r="F117" s="291"/>
    </row>
    <row r="118" spans="1:6" s="202" customFormat="1" ht="16.5" customHeight="1" x14ac:dyDescent="0.2">
      <c r="A118" s="291"/>
      <c r="B118" s="289"/>
      <c r="C118" s="289"/>
      <c r="D118" s="291"/>
      <c r="E118" s="289"/>
      <c r="F118" s="291"/>
    </row>
    <row r="119" spans="1:6" s="202" customFormat="1" ht="16.5" customHeight="1" x14ac:dyDescent="0.2">
      <c r="A119" s="291"/>
      <c r="B119" s="289"/>
      <c r="C119" s="289"/>
      <c r="D119" s="291"/>
      <c r="E119" s="289"/>
      <c r="F119" s="291"/>
    </row>
    <row r="120" spans="1:6" s="202" customFormat="1" ht="16.5" customHeight="1" x14ac:dyDescent="0.2">
      <c r="A120" s="271" t="s">
        <v>0</v>
      </c>
      <c r="B120" s="271" t="s">
        <v>4</v>
      </c>
      <c r="C120" s="271" t="s">
        <v>1</v>
      </c>
      <c r="D120" s="271" t="s">
        <v>2</v>
      </c>
      <c r="E120" s="271" t="s">
        <v>3</v>
      </c>
      <c r="F120" s="271" t="s">
        <v>25</v>
      </c>
    </row>
    <row r="121" spans="1:6" s="202" customFormat="1" ht="16.5" customHeight="1" x14ac:dyDescent="0.2">
      <c r="A121" s="291"/>
      <c r="B121" s="289"/>
      <c r="C121" s="289"/>
      <c r="D121" s="291"/>
      <c r="E121" s="291"/>
      <c r="F121" s="291"/>
    </row>
    <row r="122" spans="1:6" s="202" customFormat="1" ht="16.5" customHeight="1" x14ac:dyDescent="0.2">
      <c r="A122" s="291"/>
      <c r="B122" s="289"/>
      <c r="C122" s="289"/>
      <c r="D122" s="291"/>
      <c r="E122" s="291"/>
      <c r="F122" s="291"/>
    </row>
    <row r="123" spans="1:6" s="202" customFormat="1" ht="16.5" customHeight="1" x14ac:dyDescent="0.2">
      <c r="A123" s="291"/>
      <c r="B123" s="289"/>
      <c r="C123" s="289"/>
      <c r="D123" s="291"/>
      <c r="E123" s="291"/>
      <c r="F123" s="291"/>
    </row>
    <row r="124" spans="1:6" s="202" customFormat="1" ht="16.5" customHeight="1" x14ac:dyDescent="0.2">
      <c r="A124" s="289"/>
      <c r="B124" s="290"/>
      <c r="C124" s="290"/>
      <c r="D124" s="290"/>
      <c r="E124" s="290"/>
      <c r="F124" s="290"/>
    </row>
    <row r="125" spans="1:6" s="202" customFormat="1" ht="16.5" customHeight="1" x14ac:dyDescent="0.2">
      <c r="A125" s="291"/>
      <c r="B125" s="290"/>
      <c r="C125" s="291"/>
      <c r="D125" s="291"/>
      <c r="E125" s="291"/>
      <c r="F125" s="291"/>
    </row>
    <row r="126" spans="1:6" s="202" customFormat="1" ht="16.5" customHeight="1" x14ac:dyDescent="0.2">
      <c r="A126" s="291"/>
      <c r="B126" s="290"/>
      <c r="C126" s="290"/>
      <c r="D126" s="291"/>
      <c r="E126" s="291"/>
      <c r="F126" s="291"/>
    </row>
    <row r="127" spans="1:6" s="202" customFormat="1" ht="16.5" customHeight="1" x14ac:dyDescent="0.2">
      <c r="A127" s="291"/>
      <c r="B127" s="289"/>
      <c r="C127" s="289"/>
      <c r="D127" s="291"/>
      <c r="E127" s="291"/>
      <c r="F127" s="291"/>
    </row>
    <row r="128" spans="1:6" s="202" customFormat="1" ht="16.5" customHeight="1" x14ac:dyDescent="0.2">
      <c r="A128" s="291"/>
      <c r="B128" s="289"/>
      <c r="C128" s="289"/>
      <c r="D128" s="291"/>
      <c r="E128" s="291"/>
      <c r="F128" s="291"/>
    </row>
    <row r="129" spans="1:6" s="202" customFormat="1" ht="16.5" customHeight="1" x14ac:dyDescent="0.2">
      <c r="A129" s="291"/>
      <c r="B129" s="289"/>
      <c r="C129" s="289"/>
      <c r="D129" s="291"/>
      <c r="E129" s="291"/>
      <c r="F129" s="291"/>
    </row>
    <row r="130" spans="1:6" s="202" customFormat="1" ht="16.5" customHeight="1" x14ac:dyDescent="0.2">
      <c r="A130" s="291"/>
      <c r="B130" s="289"/>
      <c r="C130" s="289"/>
      <c r="D130" s="291"/>
      <c r="E130" s="291"/>
      <c r="F130" s="291"/>
    </row>
    <row r="131" spans="1:6" s="202" customFormat="1" ht="16.5" customHeight="1" x14ac:dyDescent="0.2">
      <c r="A131" s="291"/>
      <c r="B131" s="289"/>
      <c r="C131" s="289"/>
      <c r="D131" s="291"/>
      <c r="E131" s="291"/>
      <c r="F131" s="291"/>
    </row>
    <row r="132" spans="1:6" s="202" customFormat="1" ht="16.5" customHeight="1" x14ac:dyDescent="0.2">
      <c r="A132" s="291"/>
      <c r="B132" s="289"/>
      <c r="C132" s="289"/>
      <c r="D132" s="291"/>
      <c r="E132" s="291"/>
      <c r="F132" s="291"/>
    </row>
    <row r="133" spans="1:6" s="202" customFormat="1" ht="16.5" customHeight="1" x14ac:dyDescent="0.2">
      <c r="A133" s="271" t="s">
        <v>0</v>
      </c>
      <c r="B133" s="271" t="s">
        <v>4</v>
      </c>
      <c r="C133" s="271" t="s">
        <v>1</v>
      </c>
      <c r="D133" s="271" t="s">
        <v>2</v>
      </c>
      <c r="E133" s="271" t="s">
        <v>3</v>
      </c>
      <c r="F133" s="271" t="s">
        <v>25</v>
      </c>
    </row>
    <row r="134" spans="1:6" s="202" customFormat="1" ht="16.5" customHeight="1" x14ac:dyDescent="0.2">
      <c r="A134" s="291"/>
      <c r="B134" s="289"/>
      <c r="C134" s="291"/>
      <c r="D134" s="291"/>
      <c r="E134" s="291"/>
      <c r="F134" s="291"/>
    </row>
    <row r="135" spans="1:6" s="202" customFormat="1" ht="16.5" customHeight="1" x14ac:dyDescent="0.2">
      <c r="A135" s="291"/>
      <c r="B135" s="289"/>
      <c r="C135" s="291"/>
      <c r="D135" s="291"/>
      <c r="E135" s="291"/>
      <c r="F135" s="291"/>
    </row>
    <row r="136" spans="1:6" s="202" customFormat="1" ht="16.5" customHeight="1" x14ac:dyDescent="0.2">
      <c r="A136" s="291"/>
      <c r="B136" s="289"/>
      <c r="C136" s="291"/>
      <c r="D136" s="291"/>
      <c r="E136" s="291"/>
      <c r="F136" s="291"/>
    </row>
    <row r="137" spans="1:6" s="202" customFormat="1" ht="16.5" customHeight="1" x14ac:dyDescent="0.2">
      <c r="A137" s="289"/>
      <c r="B137" s="290"/>
      <c r="C137" s="291"/>
      <c r="D137" s="289"/>
      <c r="E137" s="291"/>
      <c r="F137" s="289"/>
    </row>
    <row r="138" spans="1:6" s="202" customFormat="1" ht="16.5" customHeight="1" x14ac:dyDescent="0.2">
      <c r="A138" s="291"/>
      <c r="B138" s="290"/>
      <c r="C138" s="291"/>
      <c r="D138" s="291"/>
      <c r="E138" s="291"/>
      <c r="F138" s="291"/>
    </row>
    <row r="139" spans="1:6" s="202" customFormat="1" ht="16.5" customHeight="1" x14ac:dyDescent="0.2">
      <c r="A139" s="291"/>
      <c r="B139" s="290"/>
      <c r="C139" s="291"/>
      <c r="D139" s="291"/>
      <c r="E139" s="291"/>
      <c r="F139" s="291"/>
    </row>
    <row r="140" spans="1:6" s="202" customFormat="1" ht="16.5" customHeight="1" x14ac:dyDescent="0.2">
      <c r="A140" s="291"/>
      <c r="B140" s="289"/>
      <c r="C140" s="291"/>
      <c r="D140" s="291"/>
      <c r="E140" s="291"/>
      <c r="F140" s="291"/>
    </row>
    <row r="141" spans="1:6" s="202" customFormat="1" ht="16.5" customHeight="1" x14ac:dyDescent="0.2">
      <c r="A141" s="291"/>
      <c r="B141" s="289"/>
      <c r="C141" s="291"/>
      <c r="D141" s="291"/>
      <c r="E141" s="291"/>
      <c r="F141" s="291"/>
    </row>
    <row r="142" spans="1:6" s="202" customFormat="1" ht="16.5" customHeight="1" x14ac:dyDescent="0.2">
      <c r="A142" s="291"/>
      <c r="B142" s="289"/>
      <c r="C142" s="291"/>
      <c r="D142" s="291"/>
      <c r="E142" s="291"/>
      <c r="F142" s="291"/>
    </row>
    <row r="143" spans="1:6" s="202" customFormat="1" ht="16.5" customHeight="1" x14ac:dyDescent="0.2">
      <c r="A143" s="291"/>
      <c r="B143" s="289"/>
      <c r="C143" s="291"/>
      <c r="D143" s="291"/>
      <c r="E143" s="291"/>
      <c r="F143" s="291"/>
    </row>
    <row r="144" spans="1:6" s="202" customFormat="1" ht="16.5" customHeight="1" x14ac:dyDescent="0.2">
      <c r="A144" s="291"/>
      <c r="B144" s="289"/>
      <c r="C144" s="291"/>
      <c r="D144" s="291"/>
      <c r="E144" s="291"/>
      <c r="F144" s="291"/>
    </row>
    <row r="145" spans="1:6" s="202" customFormat="1" ht="16.5" customHeight="1" x14ac:dyDescent="0.2">
      <c r="A145" s="291"/>
      <c r="B145" s="289"/>
      <c r="C145" s="291"/>
      <c r="D145" s="291"/>
      <c r="E145" s="291"/>
      <c r="F145" s="291"/>
    </row>
    <row r="146" spans="1:6" s="202" customFormat="1" ht="16.5" customHeight="1" x14ac:dyDescent="0.2">
      <c r="A146" s="271" t="s">
        <v>0</v>
      </c>
      <c r="B146" s="271" t="s">
        <v>4</v>
      </c>
      <c r="C146" s="271" t="s">
        <v>1</v>
      </c>
      <c r="D146" s="271" t="s">
        <v>2</v>
      </c>
      <c r="E146" s="271" t="s">
        <v>3</v>
      </c>
      <c r="F146" s="271" t="s">
        <v>25</v>
      </c>
    </row>
    <row r="147" spans="1:6" s="202" customFormat="1" ht="16.5" customHeight="1" x14ac:dyDescent="0.2">
      <c r="A147" s="291"/>
      <c r="B147" s="289"/>
      <c r="C147" s="291"/>
      <c r="D147" s="291"/>
      <c r="E147" s="291"/>
      <c r="F147" s="291"/>
    </row>
    <row r="148" spans="1:6" s="202" customFormat="1" ht="16.5" customHeight="1" x14ac:dyDescent="0.2">
      <c r="A148" s="291"/>
      <c r="B148" s="289"/>
      <c r="C148" s="291"/>
      <c r="D148" s="291"/>
      <c r="E148" s="291"/>
      <c r="F148" s="291"/>
    </row>
    <row r="149" spans="1:6" s="202" customFormat="1" ht="16.5" customHeight="1" x14ac:dyDescent="0.2">
      <c r="A149" s="291"/>
      <c r="B149" s="289"/>
      <c r="C149" s="291"/>
      <c r="D149" s="291"/>
      <c r="E149" s="291"/>
      <c r="F149" s="291"/>
    </row>
    <row r="150" spans="1:6" s="202" customFormat="1" ht="16.5" customHeight="1" x14ac:dyDescent="0.2">
      <c r="A150" s="289"/>
      <c r="B150" s="290"/>
      <c r="C150" s="291"/>
      <c r="D150" s="289"/>
      <c r="E150" s="291"/>
      <c r="F150" s="289"/>
    </row>
    <row r="151" spans="1:6" s="202" customFormat="1" ht="16.5" customHeight="1" x14ac:dyDescent="0.2">
      <c r="A151" s="291"/>
      <c r="B151" s="290"/>
      <c r="C151" s="291"/>
      <c r="D151" s="291"/>
      <c r="E151" s="291"/>
      <c r="F151" s="291"/>
    </row>
    <row r="152" spans="1:6" s="202" customFormat="1" ht="16.5" customHeight="1" x14ac:dyDescent="0.2">
      <c r="A152" s="291"/>
      <c r="B152" s="290"/>
      <c r="C152" s="291"/>
      <c r="D152" s="291"/>
      <c r="E152" s="291"/>
      <c r="F152" s="291"/>
    </row>
    <row r="153" spans="1:6" s="202" customFormat="1" ht="16.5" customHeight="1" x14ac:dyDescent="0.2">
      <c r="A153" s="291"/>
      <c r="B153" s="289"/>
      <c r="C153" s="291"/>
      <c r="D153" s="291"/>
      <c r="E153" s="291"/>
      <c r="F153" s="291"/>
    </row>
    <row r="154" spans="1:6" s="202" customFormat="1" ht="16.5" customHeight="1" x14ac:dyDescent="0.2">
      <c r="A154" s="291"/>
      <c r="B154" s="289"/>
      <c r="C154" s="291"/>
      <c r="D154" s="291"/>
      <c r="E154" s="291"/>
      <c r="F154" s="291"/>
    </row>
    <row r="155" spans="1:6" s="202" customFormat="1" ht="16.5" customHeight="1" x14ac:dyDescent="0.2">
      <c r="A155" s="291"/>
      <c r="B155" s="289"/>
      <c r="C155" s="291"/>
      <c r="D155" s="291"/>
      <c r="E155" s="291"/>
      <c r="F155" s="291"/>
    </row>
    <row r="156" spans="1:6" s="202" customFormat="1" ht="16.5" customHeight="1" x14ac:dyDescent="0.2">
      <c r="A156" s="291"/>
      <c r="B156" s="289"/>
      <c r="C156" s="291"/>
      <c r="D156" s="291"/>
      <c r="E156" s="291"/>
      <c r="F156" s="291"/>
    </row>
    <row r="157" spans="1:6" s="202" customFormat="1" ht="16.5" customHeight="1" x14ac:dyDescent="0.2">
      <c r="A157" s="291"/>
      <c r="B157" s="289"/>
      <c r="C157" s="291"/>
      <c r="D157" s="291"/>
      <c r="E157" s="291"/>
      <c r="F157" s="291"/>
    </row>
    <row r="158" spans="1:6" s="202" customFormat="1" ht="16.5" customHeight="1" x14ac:dyDescent="0.2">
      <c r="A158" s="291"/>
      <c r="B158" s="289"/>
      <c r="C158" s="291"/>
      <c r="D158" s="291"/>
      <c r="E158" s="291"/>
      <c r="F158" s="291"/>
    </row>
    <row r="159" spans="1:6" s="202" customFormat="1" ht="16.5" customHeight="1" x14ac:dyDescent="0.2">
      <c r="A159" s="271" t="s">
        <v>0</v>
      </c>
      <c r="B159" s="273" t="s">
        <v>25</v>
      </c>
      <c r="C159" s="271" t="s">
        <v>1</v>
      </c>
      <c r="D159" s="271" t="s">
        <v>2</v>
      </c>
      <c r="E159" s="271" t="s">
        <v>3</v>
      </c>
      <c r="F159" s="271" t="s">
        <v>4</v>
      </c>
    </row>
    <row r="160" spans="1:6" s="202" customFormat="1" ht="16.5" customHeight="1" x14ac:dyDescent="0.2">
      <c r="A160" s="291"/>
      <c r="B160" s="289"/>
      <c r="C160" s="291"/>
      <c r="D160" s="291"/>
      <c r="E160" s="291"/>
      <c r="F160" s="291"/>
    </row>
    <row r="161" spans="1:6" s="202" customFormat="1" ht="16.5" customHeight="1" x14ac:dyDescent="0.2">
      <c r="A161" s="291"/>
      <c r="B161" s="289"/>
      <c r="C161" s="291"/>
      <c r="D161" s="291"/>
      <c r="E161" s="291"/>
      <c r="F161" s="291"/>
    </row>
    <row r="162" spans="1:6" s="202" customFormat="1" ht="16.5" customHeight="1" x14ac:dyDescent="0.2">
      <c r="A162" s="291"/>
      <c r="B162" s="289"/>
      <c r="C162" s="291"/>
      <c r="D162" s="291"/>
      <c r="E162" s="291"/>
      <c r="F162" s="291"/>
    </row>
    <row r="163" spans="1:6" s="202" customFormat="1" ht="16.5" customHeight="1" x14ac:dyDescent="0.2">
      <c r="A163" s="289"/>
      <c r="B163" s="290"/>
      <c r="C163" s="291"/>
      <c r="D163" s="289"/>
      <c r="E163" s="291"/>
      <c r="F163" s="289"/>
    </row>
    <row r="164" spans="1:6" s="202" customFormat="1" ht="16.5" customHeight="1" x14ac:dyDescent="0.2">
      <c r="A164" s="291"/>
      <c r="B164" s="290"/>
      <c r="C164" s="291"/>
      <c r="D164" s="291"/>
      <c r="E164" s="291"/>
      <c r="F164" s="291"/>
    </row>
    <row r="165" spans="1:6" s="202" customFormat="1" ht="16.5" customHeight="1" x14ac:dyDescent="0.2">
      <c r="A165" s="291"/>
      <c r="B165" s="290"/>
      <c r="C165" s="291"/>
      <c r="D165" s="291"/>
      <c r="E165" s="291"/>
      <c r="F165" s="291"/>
    </row>
    <row r="166" spans="1:6" s="202" customFormat="1" ht="16.5" customHeight="1" x14ac:dyDescent="0.2">
      <c r="A166" s="291"/>
      <c r="B166" s="289"/>
      <c r="C166" s="291"/>
      <c r="D166" s="291"/>
      <c r="E166" s="291"/>
      <c r="F166" s="291"/>
    </row>
    <row r="167" spans="1:6" s="202" customFormat="1" ht="16.5" customHeight="1" x14ac:dyDescent="0.2">
      <c r="A167" s="291"/>
      <c r="B167" s="289"/>
      <c r="C167" s="291"/>
      <c r="D167" s="291"/>
      <c r="E167" s="291"/>
      <c r="F167" s="291"/>
    </row>
    <row r="168" spans="1:6" s="202" customFormat="1" ht="16.5" customHeight="1" x14ac:dyDescent="0.2">
      <c r="A168" s="291"/>
      <c r="B168" s="289"/>
      <c r="C168" s="291"/>
      <c r="D168" s="291"/>
      <c r="E168" s="291"/>
      <c r="F168" s="291"/>
    </row>
    <row r="169" spans="1:6" s="202" customFormat="1" ht="16.5" customHeight="1" x14ac:dyDescent="0.2">
      <c r="A169" s="291"/>
      <c r="B169" s="289"/>
      <c r="C169" s="291"/>
      <c r="D169" s="291"/>
      <c r="E169" s="291"/>
      <c r="F169" s="291"/>
    </row>
    <row r="170" spans="1:6" s="202" customFormat="1" ht="16.5" customHeight="1" x14ac:dyDescent="0.2">
      <c r="A170" s="291"/>
      <c r="B170" s="289"/>
      <c r="C170" s="291"/>
      <c r="D170" s="291"/>
      <c r="E170" s="291"/>
      <c r="F170" s="291"/>
    </row>
    <row r="171" spans="1:6" s="202" customFormat="1" ht="16.5" customHeight="1" x14ac:dyDescent="0.2">
      <c r="A171" s="291"/>
      <c r="B171" s="289"/>
      <c r="C171" s="291"/>
      <c r="D171" s="291"/>
      <c r="E171" s="291"/>
      <c r="F171" s="291"/>
    </row>
    <row r="172" spans="1:6" s="202" customFormat="1" ht="16.5" customHeight="1" x14ac:dyDescent="0.2">
      <c r="A172" s="271" t="s">
        <v>0</v>
      </c>
      <c r="B172" s="273" t="s">
        <v>25</v>
      </c>
      <c r="C172" s="271" t="s">
        <v>1</v>
      </c>
      <c r="D172" s="271" t="s">
        <v>2</v>
      </c>
      <c r="E172" s="271" t="s">
        <v>3</v>
      </c>
      <c r="F172" s="271" t="s">
        <v>4</v>
      </c>
    </row>
    <row r="173" spans="1:6" s="202" customFormat="1" ht="16.5" customHeight="1" x14ac:dyDescent="0.2">
      <c r="A173" s="291"/>
      <c r="B173" s="289" t="s">
        <v>614</v>
      </c>
      <c r="C173" s="291"/>
      <c r="D173" s="291"/>
      <c r="E173" s="291"/>
      <c r="F173" s="291"/>
    </row>
    <row r="174" spans="1:6" s="202" customFormat="1" ht="16.5" customHeight="1" x14ac:dyDescent="0.2">
      <c r="A174" s="291"/>
      <c r="B174" s="289" t="s">
        <v>165</v>
      </c>
      <c r="C174" s="291"/>
      <c r="D174" s="291"/>
      <c r="E174" s="291"/>
      <c r="F174" s="291"/>
    </row>
    <row r="175" spans="1:6" s="202" customFormat="1" ht="16.5" customHeight="1" x14ac:dyDescent="0.2">
      <c r="A175" s="291"/>
      <c r="B175" s="289" t="s">
        <v>615</v>
      </c>
      <c r="C175" s="291"/>
      <c r="D175" s="291"/>
      <c r="E175" s="291"/>
      <c r="F175" s="291"/>
    </row>
    <row r="176" spans="1:6" s="202" customFormat="1" ht="16.5" customHeight="1" x14ac:dyDescent="0.2">
      <c r="A176" s="289"/>
      <c r="B176" s="290" t="s">
        <v>161</v>
      </c>
      <c r="C176" s="291"/>
      <c r="D176" s="289"/>
      <c r="E176" s="291"/>
      <c r="F176" s="289"/>
    </row>
    <row r="177" spans="1:6" s="202" customFormat="1" ht="16.5" customHeight="1" x14ac:dyDescent="0.2">
      <c r="A177" s="291"/>
      <c r="B177" s="290" t="s">
        <v>31</v>
      </c>
      <c r="C177" s="291"/>
      <c r="D177" s="291"/>
      <c r="E177" s="291"/>
      <c r="F177" s="291"/>
    </row>
    <row r="178" spans="1:6" s="202" customFormat="1" ht="16.5" customHeight="1" x14ac:dyDescent="0.2">
      <c r="A178" s="291"/>
      <c r="B178" s="290" t="s">
        <v>19</v>
      </c>
      <c r="C178" s="291"/>
      <c r="D178" s="291"/>
      <c r="E178" s="291"/>
      <c r="F178" s="291"/>
    </row>
    <row r="179" spans="1:6" s="202" customFormat="1" ht="16.5" customHeight="1" x14ac:dyDescent="0.2">
      <c r="A179" s="291"/>
      <c r="B179" s="289" t="s">
        <v>546</v>
      </c>
      <c r="C179" s="291"/>
      <c r="D179" s="291"/>
      <c r="E179" s="291"/>
      <c r="F179" s="291"/>
    </row>
    <row r="180" spans="1:6" s="202" customFormat="1" ht="16.5" customHeight="1" x14ac:dyDescent="0.2">
      <c r="A180" s="291"/>
      <c r="B180" s="289" t="s">
        <v>15</v>
      </c>
      <c r="C180" s="291"/>
      <c r="D180" s="291"/>
      <c r="E180" s="291"/>
      <c r="F180" s="291"/>
    </row>
    <row r="181" spans="1:6" s="202" customFormat="1" ht="16.5" customHeight="1" x14ac:dyDescent="0.2">
      <c r="A181" s="291"/>
      <c r="B181" s="289" t="s">
        <v>51</v>
      </c>
      <c r="C181" s="291"/>
      <c r="D181" s="291"/>
      <c r="E181" s="291"/>
      <c r="F181" s="291"/>
    </row>
    <row r="182" spans="1:6" s="202" customFormat="1" ht="16.5" customHeight="1" x14ac:dyDescent="0.2">
      <c r="A182" s="291"/>
      <c r="B182" s="289" t="s">
        <v>616</v>
      </c>
      <c r="C182" s="291"/>
      <c r="D182" s="291"/>
      <c r="E182" s="291"/>
      <c r="F182" s="291"/>
    </row>
    <row r="183" spans="1:6" s="202" customFormat="1" ht="16.5" customHeight="1" x14ac:dyDescent="0.2">
      <c r="A183" s="291"/>
      <c r="B183" s="289" t="s">
        <v>612</v>
      </c>
      <c r="C183" s="291"/>
      <c r="D183" s="291"/>
      <c r="E183" s="291"/>
      <c r="F183" s="291"/>
    </row>
    <row r="184" spans="1:6" s="202" customFormat="1" ht="16.5" customHeight="1" x14ac:dyDescent="0.2">
      <c r="A184" s="291"/>
      <c r="B184" s="289" t="s">
        <v>613</v>
      </c>
      <c r="C184" s="291"/>
      <c r="D184" s="291"/>
      <c r="E184" s="291"/>
      <c r="F184" s="291"/>
    </row>
    <row r="185" spans="1:6" s="202" customFormat="1" ht="16.5" customHeight="1" x14ac:dyDescent="0.2">
      <c r="A185" s="271" t="s">
        <v>0</v>
      </c>
      <c r="B185" s="273" t="s">
        <v>25</v>
      </c>
      <c r="C185" s="271" t="s">
        <v>1</v>
      </c>
      <c r="D185" s="271" t="s">
        <v>2</v>
      </c>
      <c r="E185" s="271" t="s">
        <v>3</v>
      </c>
      <c r="F185" s="271" t="s">
        <v>4</v>
      </c>
    </row>
    <row r="186" spans="1:6" s="202" customFormat="1" ht="16.5" customHeight="1" x14ac:dyDescent="0.2">
      <c r="A186" s="291"/>
      <c r="B186" s="289"/>
      <c r="C186" s="291"/>
      <c r="D186" s="291"/>
      <c r="E186" s="291"/>
      <c r="F186" s="291"/>
    </row>
    <row r="187" spans="1:6" s="202" customFormat="1" ht="16.5" customHeight="1" x14ac:dyDescent="0.2">
      <c r="A187" s="291"/>
      <c r="B187" s="289"/>
      <c r="C187" s="291"/>
      <c r="D187" s="291"/>
      <c r="E187" s="291"/>
      <c r="F187" s="291"/>
    </row>
    <row r="188" spans="1:6" s="202" customFormat="1" ht="16.5" customHeight="1" x14ac:dyDescent="0.2">
      <c r="A188" s="291"/>
      <c r="B188" s="289"/>
      <c r="C188" s="291"/>
      <c r="D188" s="291"/>
      <c r="E188" s="291"/>
      <c r="F188" s="291"/>
    </row>
    <row r="189" spans="1:6" s="202" customFormat="1" ht="16.5" customHeight="1" x14ac:dyDescent="0.2">
      <c r="A189" s="289"/>
      <c r="B189" s="290"/>
      <c r="C189" s="291"/>
      <c r="D189" s="289"/>
      <c r="E189" s="291"/>
      <c r="F189" s="289"/>
    </row>
    <row r="190" spans="1:6" s="202" customFormat="1" ht="16.5" customHeight="1" x14ac:dyDescent="0.2">
      <c r="A190" s="291"/>
      <c r="B190" s="290"/>
      <c r="C190" s="291"/>
      <c r="D190" s="291"/>
      <c r="E190" s="291"/>
      <c r="F190" s="291"/>
    </row>
    <row r="191" spans="1:6" s="202" customFormat="1" ht="16.5" customHeight="1" x14ac:dyDescent="0.2">
      <c r="A191" s="291"/>
      <c r="B191" s="290"/>
      <c r="C191" s="291"/>
      <c r="D191" s="291"/>
      <c r="E191" s="291"/>
      <c r="F191" s="291"/>
    </row>
    <row r="192" spans="1:6" s="202" customFormat="1" ht="16.5" customHeight="1" x14ac:dyDescent="0.2">
      <c r="A192" s="291"/>
      <c r="B192" s="289"/>
      <c r="C192" s="291"/>
      <c r="D192" s="291"/>
      <c r="E192" s="291"/>
      <c r="F192" s="291"/>
    </row>
    <row r="193" spans="1:6" s="202" customFormat="1" ht="16.5" customHeight="1" x14ac:dyDescent="0.2">
      <c r="A193" s="291"/>
      <c r="B193" s="289"/>
      <c r="C193" s="291"/>
      <c r="D193" s="291"/>
      <c r="E193" s="291"/>
      <c r="F193" s="291"/>
    </row>
    <row r="194" spans="1:6" s="202" customFormat="1" ht="16.5" customHeight="1" x14ac:dyDescent="0.2">
      <c r="A194" s="291"/>
      <c r="B194" s="289"/>
      <c r="C194" s="291"/>
      <c r="D194" s="291"/>
      <c r="E194" s="291"/>
      <c r="F194" s="291"/>
    </row>
    <row r="195" spans="1:6" s="202" customFormat="1" ht="16.5" customHeight="1" x14ac:dyDescent="0.2">
      <c r="A195" s="291"/>
      <c r="B195" s="289"/>
      <c r="C195" s="291"/>
      <c r="D195" s="291"/>
      <c r="E195" s="291"/>
      <c r="F195" s="291"/>
    </row>
    <row r="196" spans="1:6" s="202" customFormat="1" ht="16.5" customHeight="1" x14ac:dyDescent="0.2">
      <c r="A196" s="291"/>
      <c r="B196" s="289"/>
      <c r="C196" s="291"/>
      <c r="D196" s="291"/>
      <c r="E196" s="291"/>
      <c r="F196" s="291"/>
    </row>
    <row r="197" spans="1:6" s="202" customFormat="1" ht="16.5" customHeight="1" x14ac:dyDescent="0.2">
      <c r="A197" s="291"/>
      <c r="B197" s="289"/>
      <c r="C197" s="291"/>
      <c r="D197" s="291"/>
      <c r="E197" s="291"/>
      <c r="F197" s="291"/>
    </row>
    <row r="198" spans="1:6" s="202" customFormat="1" ht="16.5" customHeight="1" x14ac:dyDescent="0.2">
      <c r="A198" s="271" t="s">
        <v>0</v>
      </c>
      <c r="B198" s="273" t="s">
        <v>25</v>
      </c>
      <c r="C198" s="271" t="s">
        <v>1</v>
      </c>
      <c r="D198" s="271" t="s">
        <v>2</v>
      </c>
      <c r="E198" s="271" t="s">
        <v>3</v>
      </c>
      <c r="F198" s="271" t="s">
        <v>4</v>
      </c>
    </row>
    <row r="199" spans="1:6" s="202" customFormat="1" ht="16.5" customHeight="1" x14ac:dyDescent="0.2">
      <c r="A199" s="291"/>
      <c r="B199" s="291"/>
      <c r="C199" s="291"/>
      <c r="D199" s="291"/>
      <c r="E199" s="291"/>
      <c r="F199" s="291"/>
    </row>
    <row r="200" spans="1:6" s="202" customFormat="1" ht="16.5" customHeight="1" x14ac:dyDescent="0.2">
      <c r="A200" s="291"/>
      <c r="B200" s="291"/>
      <c r="C200" s="291"/>
      <c r="D200" s="291"/>
      <c r="E200" s="291"/>
      <c r="F200" s="291"/>
    </row>
    <row r="201" spans="1:6" s="202" customFormat="1" ht="16.5" customHeight="1" x14ac:dyDescent="0.2">
      <c r="A201" s="291"/>
      <c r="B201" s="291"/>
      <c r="C201" s="291"/>
      <c r="D201" s="291"/>
      <c r="E201" s="291"/>
      <c r="F201" s="291"/>
    </row>
    <row r="202" spans="1:6" s="202" customFormat="1" ht="16.5" customHeight="1" x14ac:dyDescent="0.2">
      <c r="A202" s="289"/>
      <c r="B202" s="291"/>
      <c r="C202" s="291"/>
      <c r="D202" s="289"/>
      <c r="E202" s="291"/>
      <c r="F202" s="289"/>
    </row>
    <row r="203" spans="1:6" s="202" customFormat="1" ht="16.5" customHeight="1" x14ac:dyDescent="0.2">
      <c r="A203" s="291"/>
      <c r="B203" s="291"/>
      <c r="C203" s="291"/>
      <c r="D203" s="291"/>
      <c r="E203" s="291"/>
      <c r="F203" s="291"/>
    </row>
    <row r="204" spans="1:6" s="202" customFormat="1" ht="16.5" customHeight="1" x14ac:dyDescent="0.2">
      <c r="A204" s="291"/>
      <c r="B204" s="291"/>
      <c r="C204" s="291"/>
      <c r="D204" s="291"/>
      <c r="E204" s="291"/>
      <c r="F204" s="291"/>
    </row>
    <row r="205" spans="1:6" s="202" customFormat="1" ht="16.5" customHeight="1" x14ac:dyDescent="0.2">
      <c r="A205" s="291"/>
      <c r="B205" s="291"/>
      <c r="C205" s="291"/>
      <c r="D205" s="291"/>
      <c r="E205" s="291"/>
      <c r="F205" s="291"/>
    </row>
    <row r="206" spans="1:6" s="202" customFormat="1" ht="16.5" customHeight="1" x14ac:dyDescent="0.2">
      <c r="A206" s="291"/>
      <c r="B206" s="291"/>
      <c r="C206" s="291"/>
      <c r="D206" s="291"/>
      <c r="E206" s="291"/>
      <c r="F206" s="291"/>
    </row>
    <row r="207" spans="1:6" s="202" customFormat="1" ht="16.5" customHeight="1" x14ac:dyDescent="0.2">
      <c r="A207" s="291"/>
      <c r="B207" s="291"/>
      <c r="C207" s="291"/>
      <c r="D207" s="291"/>
      <c r="E207" s="291"/>
      <c r="F207" s="291"/>
    </row>
    <row r="208" spans="1:6" s="202" customFormat="1" ht="16.5" customHeight="1" x14ac:dyDescent="0.2">
      <c r="A208" s="291"/>
      <c r="B208" s="291"/>
      <c r="C208" s="291"/>
      <c r="D208" s="291"/>
      <c r="E208" s="291"/>
      <c r="F208" s="291"/>
    </row>
    <row r="209" spans="1:6" s="202" customFormat="1" ht="16.5" customHeight="1" x14ac:dyDescent="0.2">
      <c r="A209" s="291"/>
      <c r="B209" s="291"/>
      <c r="C209" s="291"/>
      <c r="D209" s="291"/>
      <c r="E209" s="291"/>
      <c r="F209" s="291"/>
    </row>
    <row r="210" spans="1:6" s="202" customFormat="1" ht="16.5" customHeight="1" x14ac:dyDescent="0.2">
      <c r="A210" s="291"/>
      <c r="B210" s="291"/>
      <c r="C210" s="291"/>
      <c r="D210" s="291"/>
      <c r="E210" s="291"/>
      <c r="F210" s="291"/>
    </row>
  </sheetData>
  <mergeCells count="1">
    <mergeCell ref="E2:F2"/>
  </mergeCells>
  <pageMargins left="0.5" right="0.25" top="0.25" bottom="0.25" header="0" footer="0.05"/>
  <pageSetup paperSize="9" scale="62" orientation="landscape" r:id="rId1"/>
  <headerFooter>
    <oddFooter>Prepared by ie 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210"/>
  <sheetViews>
    <sheetView zoomScaleNormal="100" zoomScaleSheetLayoutView="100" workbookViewId="0">
      <selection activeCell="A11" sqref="A11"/>
    </sheetView>
  </sheetViews>
  <sheetFormatPr defaultRowHeight="14.25" x14ac:dyDescent="0.2"/>
  <cols>
    <col min="1" max="1" width="29.42578125" style="199" customWidth="1"/>
    <col min="2" max="2" width="30.28515625" style="199" customWidth="1"/>
    <col min="3" max="3" width="31.28515625" style="199" customWidth="1"/>
    <col min="4" max="4" width="29.5703125" style="199" customWidth="1"/>
    <col min="5" max="6" width="31.28515625" style="199" customWidth="1"/>
    <col min="7" max="7" width="0" style="199" hidden="1" customWidth="1"/>
    <col min="8" max="8" width="13" style="199" hidden="1" customWidth="1"/>
    <col min="9" max="16384" width="9.140625" style="199"/>
  </cols>
  <sheetData>
    <row r="1" spans="1:8" s="197" customFormat="1" ht="27.75" customHeight="1" x14ac:dyDescent="0.25">
      <c r="A1" s="204" t="s">
        <v>160</v>
      </c>
      <c r="B1" s="205"/>
      <c r="C1" s="205"/>
      <c r="D1" s="205"/>
      <c r="E1" s="205"/>
      <c r="F1" s="205"/>
    </row>
    <row r="2" spans="1:8" s="210" customFormat="1" ht="12.75" customHeight="1" x14ac:dyDescent="0.25">
      <c r="A2" s="206"/>
      <c r="B2" s="207"/>
      <c r="C2" s="207"/>
      <c r="D2" s="207"/>
      <c r="E2" s="208" t="s">
        <v>97</v>
      </c>
      <c r="F2" s="209"/>
    </row>
    <row r="3" spans="1:8" s="210" customFormat="1" ht="15.75" customHeight="1" x14ac:dyDescent="0.25">
      <c r="A3" s="273" t="s">
        <v>0</v>
      </c>
      <c r="B3" s="273" t="s">
        <v>679</v>
      </c>
      <c r="C3" s="273" t="s">
        <v>1</v>
      </c>
      <c r="D3" s="273" t="s">
        <v>1421</v>
      </c>
      <c r="E3" s="273" t="s">
        <v>3</v>
      </c>
      <c r="F3" s="273" t="s">
        <v>1024</v>
      </c>
      <c r="G3" s="737" t="s">
        <v>39</v>
      </c>
      <c r="H3" s="738"/>
    </row>
    <row r="4" spans="1:8" s="210" customFormat="1" ht="15.75" customHeight="1" x14ac:dyDescent="0.2">
      <c r="A4" s="289" t="s">
        <v>933</v>
      </c>
      <c r="B4" s="295" t="s">
        <v>1092</v>
      </c>
      <c r="C4" s="289" t="s">
        <v>937</v>
      </c>
      <c r="D4" s="289" t="s">
        <v>1382</v>
      </c>
      <c r="E4" s="289" t="s">
        <v>1037</v>
      </c>
      <c r="F4" s="289" t="s">
        <v>942</v>
      </c>
      <c r="G4" s="211" t="s">
        <v>33</v>
      </c>
      <c r="H4" s="245">
        <v>22393</v>
      </c>
    </row>
    <row r="5" spans="1:8" s="210" customFormat="1" ht="15.75" customHeight="1" x14ac:dyDescent="0.2">
      <c r="A5" s="289" t="s">
        <v>146</v>
      </c>
      <c r="B5" s="294" t="s">
        <v>73</v>
      </c>
      <c r="C5" s="289" t="s">
        <v>146</v>
      </c>
      <c r="D5" s="289" t="s">
        <v>157</v>
      </c>
      <c r="E5" s="289" t="s">
        <v>157</v>
      </c>
      <c r="F5" s="289" t="s">
        <v>146</v>
      </c>
      <c r="G5" s="211" t="s">
        <v>34</v>
      </c>
      <c r="H5" s="245">
        <v>27000</v>
      </c>
    </row>
    <row r="6" spans="1:8" s="210" customFormat="1" ht="15.75" customHeight="1" x14ac:dyDescent="0.25">
      <c r="A6" s="289" t="s">
        <v>922</v>
      </c>
      <c r="B6" s="289" t="s">
        <v>1379</v>
      </c>
      <c r="C6" s="289" t="s">
        <v>938</v>
      </c>
      <c r="D6" s="289" t="s">
        <v>1381</v>
      </c>
      <c r="E6" s="289" t="s">
        <v>1038</v>
      </c>
      <c r="F6" s="289" t="s">
        <v>1040</v>
      </c>
      <c r="G6" s="211" t="s">
        <v>35</v>
      </c>
      <c r="H6" s="245">
        <v>26022</v>
      </c>
    </row>
    <row r="7" spans="1:8" s="210" customFormat="1" ht="15.75" customHeight="1" x14ac:dyDescent="0.2">
      <c r="A7" s="290" t="s">
        <v>219</v>
      </c>
      <c r="B7" s="293" t="s">
        <v>1346</v>
      </c>
      <c r="C7" s="293" t="s">
        <v>1346</v>
      </c>
      <c r="D7" s="293" t="s">
        <v>1346</v>
      </c>
      <c r="E7" s="293" t="s">
        <v>1346</v>
      </c>
      <c r="F7" s="290" t="s">
        <v>1410</v>
      </c>
      <c r="G7" s="211" t="s">
        <v>36</v>
      </c>
      <c r="H7" s="245">
        <v>25904</v>
      </c>
    </row>
    <row r="8" spans="1:8" s="210" customFormat="1" ht="15.75" customHeight="1" x14ac:dyDescent="0.2">
      <c r="A8" s="290" t="s">
        <v>244</v>
      </c>
      <c r="B8" s="293" t="s">
        <v>1435</v>
      </c>
      <c r="C8" s="290" t="s">
        <v>1408</v>
      </c>
      <c r="D8" s="401" t="s">
        <v>1091</v>
      </c>
      <c r="E8" s="401" t="s">
        <v>1091</v>
      </c>
      <c r="F8" s="290" t="s">
        <v>1411</v>
      </c>
      <c r="G8" s="211" t="s">
        <v>37</v>
      </c>
      <c r="H8" s="245">
        <v>25000</v>
      </c>
    </row>
    <row r="9" spans="1:8" s="210" customFormat="1" ht="15.75" customHeight="1" x14ac:dyDescent="0.2">
      <c r="A9" s="290" t="s">
        <v>1419</v>
      </c>
      <c r="B9" s="293" t="s">
        <v>1094</v>
      </c>
      <c r="C9" s="290" t="s">
        <v>793</v>
      </c>
      <c r="D9" s="290" t="s">
        <v>19</v>
      </c>
      <c r="E9" s="290" t="s">
        <v>19</v>
      </c>
      <c r="F9" s="290" t="s">
        <v>20</v>
      </c>
      <c r="G9" s="211" t="s">
        <v>38</v>
      </c>
      <c r="H9" s="245">
        <v>24000</v>
      </c>
    </row>
    <row r="10" spans="1:8" s="210" customFormat="1" ht="15.75" customHeight="1" x14ac:dyDescent="0.2">
      <c r="A10" s="289" t="s">
        <v>797</v>
      </c>
      <c r="B10" s="294" t="s">
        <v>1090</v>
      </c>
      <c r="C10" s="289" t="s">
        <v>797</v>
      </c>
      <c r="D10" s="289" t="s">
        <v>16</v>
      </c>
      <c r="E10" s="289" t="s">
        <v>16</v>
      </c>
      <c r="F10" s="289" t="s">
        <v>480</v>
      </c>
      <c r="G10" s="367" t="s">
        <v>12</v>
      </c>
      <c r="H10" s="368">
        <f>SUM(H4:H9)</f>
        <v>150319</v>
      </c>
    </row>
    <row r="11" spans="1:8" s="210" customFormat="1" ht="15.75" customHeight="1" x14ac:dyDescent="0.2">
      <c r="A11" s="289" t="s">
        <v>13</v>
      </c>
      <c r="B11" s="294" t="s">
        <v>1082</v>
      </c>
      <c r="C11" s="289" t="s">
        <v>150</v>
      </c>
      <c r="D11" s="289" t="s">
        <v>162</v>
      </c>
      <c r="E11" s="289" t="s">
        <v>162</v>
      </c>
      <c r="F11" s="289" t="s">
        <v>150</v>
      </c>
      <c r="G11" s="212"/>
      <c r="H11" s="212"/>
    </row>
    <row r="12" spans="1:8" s="210" customFormat="1" ht="15.75" customHeight="1" x14ac:dyDescent="0.2">
      <c r="A12" s="289" t="s">
        <v>164</v>
      </c>
      <c r="B12" s="294" t="s">
        <v>205</v>
      </c>
      <c r="C12" s="289" t="s">
        <v>164</v>
      </c>
      <c r="D12" s="289" t="s">
        <v>164</v>
      </c>
      <c r="E12" s="289" t="s">
        <v>164</v>
      </c>
      <c r="F12" s="289" t="s">
        <v>164</v>
      </c>
      <c r="G12" s="737" t="s">
        <v>40</v>
      </c>
      <c r="H12" s="738"/>
    </row>
    <row r="13" spans="1:8" s="210" customFormat="1" ht="15.75" customHeight="1" x14ac:dyDescent="0.25">
      <c r="A13" s="289" t="s">
        <v>960</v>
      </c>
      <c r="B13" s="280" t="s">
        <v>1005</v>
      </c>
      <c r="C13" s="289" t="s">
        <v>992</v>
      </c>
      <c r="D13" s="289" t="s">
        <v>981</v>
      </c>
      <c r="E13" s="289" t="s">
        <v>960</v>
      </c>
      <c r="F13" s="289" t="s">
        <v>934</v>
      </c>
      <c r="G13" s="211" t="s">
        <v>33</v>
      </c>
      <c r="H13" s="245">
        <v>12890</v>
      </c>
    </row>
    <row r="14" spans="1:8" s="210" customFormat="1" ht="15.75" customHeight="1" x14ac:dyDescent="0.2">
      <c r="A14" s="289" t="s">
        <v>1433</v>
      </c>
      <c r="B14" s="294" t="s">
        <v>1380</v>
      </c>
      <c r="C14" s="289" t="s">
        <v>936</v>
      </c>
      <c r="D14" s="289" t="s">
        <v>996</v>
      </c>
      <c r="E14" s="289" t="s">
        <v>961</v>
      </c>
      <c r="F14" s="289" t="s">
        <v>1122</v>
      </c>
      <c r="G14" s="211" t="s">
        <v>34</v>
      </c>
      <c r="H14" s="245">
        <v>25000</v>
      </c>
    </row>
    <row r="15" spans="1:8" s="210" customFormat="1" ht="15.75" customHeight="1" x14ac:dyDescent="0.2">
      <c r="A15" s="289" t="s">
        <v>935</v>
      </c>
      <c r="B15" s="294" t="s">
        <v>1093</v>
      </c>
      <c r="C15" s="289" t="s">
        <v>940</v>
      </c>
      <c r="D15" s="289" t="s">
        <v>1035</v>
      </c>
      <c r="E15" s="289" t="s">
        <v>1035</v>
      </c>
      <c r="F15" s="289" t="s">
        <v>944</v>
      </c>
      <c r="G15" s="211" t="s">
        <v>35</v>
      </c>
      <c r="H15" s="245">
        <v>21000</v>
      </c>
    </row>
    <row r="16" spans="1:8" s="210" customFormat="1" ht="15.75" customHeight="1" x14ac:dyDescent="0.25">
      <c r="A16" s="273" t="s">
        <v>100</v>
      </c>
      <c r="B16" s="273" t="s">
        <v>1409</v>
      </c>
      <c r="C16" s="273" t="s">
        <v>1</v>
      </c>
      <c r="D16" s="273" t="s">
        <v>1420</v>
      </c>
      <c r="E16" s="273" t="s">
        <v>1406</v>
      </c>
      <c r="F16" s="273" t="s">
        <v>25</v>
      </c>
      <c r="G16" s="213" t="s">
        <v>36</v>
      </c>
      <c r="H16" s="326">
        <v>26000</v>
      </c>
    </row>
    <row r="17" spans="1:8" s="210" customFormat="1" ht="15.75" customHeight="1" x14ac:dyDescent="0.25">
      <c r="A17" s="289" t="s">
        <v>1051</v>
      </c>
      <c r="B17" s="289" t="s">
        <v>915</v>
      </c>
      <c r="C17" s="289" t="s">
        <v>1048</v>
      </c>
      <c r="D17" s="289" t="s">
        <v>1055</v>
      </c>
      <c r="E17" s="289" t="s">
        <v>1429</v>
      </c>
      <c r="F17" s="289" t="s">
        <v>942</v>
      </c>
      <c r="G17" s="215" t="s">
        <v>103</v>
      </c>
      <c r="H17" s="216"/>
    </row>
    <row r="18" spans="1:8" s="210" customFormat="1" ht="15.75" customHeight="1" x14ac:dyDescent="0.25">
      <c r="A18" s="289" t="s">
        <v>146</v>
      </c>
      <c r="B18" s="289" t="s">
        <v>157</v>
      </c>
      <c r="C18" s="289" t="s">
        <v>146</v>
      </c>
      <c r="D18" s="289" t="s">
        <v>146</v>
      </c>
      <c r="E18" s="289" t="s">
        <v>157</v>
      </c>
      <c r="F18" s="289" t="s">
        <v>146</v>
      </c>
      <c r="G18" s="215" t="s">
        <v>44</v>
      </c>
      <c r="H18" s="216"/>
    </row>
    <row r="19" spans="1:8" s="210" customFormat="1" ht="15.75" customHeight="1" x14ac:dyDescent="0.25">
      <c r="A19" s="289" t="s">
        <v>1052</v>
      </c>
      <c r="B19" s="289" t="s">
        <v>1488</v>
      </c>
      <c r="C19" s="289" t="s">
        <v>1049</v>
      </c>
      <c r="D19" s="289" t="s">
        <v>1056</v>
      </c>
      <c r="E19" s="289" t="s">
        <v>1487</v>
      </c>
      <c r="F19" s="289" t="s">
        <v>1045</v>
      </c>
      <c r="G19" s="201" t="s">
        <v>136</v>
      </c>
      <c r="H19" s="218"/>
    </row>
    <row r="20" spans="1:8" s="210" customFormat="1" ht="15.75" customHeight="1" x14ac:dyDescent="0.2">
      <c r="A20" s="290" t="s">
        <v>161</v>
      </c>
      <c r="B20" s="293" t="s">
        <v>41</v>
      </c>
      <c r="C20" s="290" t="s">
        <v>161</v>
      </c>
      <c r="D20" s="290" t="s">
        <v>161</v>
      </c>
      <c r="E20" s="293" t="s">
        <v>41</v>
      </c>
      <c r="F20" s="290" t="s">
        <v>1324</v>
      </c>
      <c r="G20" s="215" t="s">
        <v>41</v>
      </c>
      <c r="H20" s="219"/>
    </row>
    <row r="21" spans="1:8" s="210" customFormat="1" ht="15.75" customHeight="1" x14ac:dyDescent="0.25">
      <c r="A21" s="290" t="s">
        <v>163</v>
      </c>
      <c r="B21" s="401" t="s">
        <v>1091</v>
      </c>
      <c r="C21" s="290" t="s">
        <v>1046</v>
      </c>
      <c r="D21" s="290" t="s">
        <v>163</v>
      </c>
      <c r="E21" s="401" t="s">
        <v>1091</v>
      </c>
      <c r="F21" s="290" t="s">
        <v>1436</v>
      </c>
      <c r="G21" s="215" t="s">
        <v>31</v>
      </c>
      <c r="H21" s="219"/>
    </row>
    <row r="22" spans="1:8" s="210" customFormat="1" ht="15.75" customHeight="1" x14ac:dyDescent="0.25">
      <c r="A22" s="290" t="s">
        <v>479</v>
      </c>
      <c r="B22" s="290" t="s">
        <v>99</v>
      </c>
      <c r="C22" s="290" t="s">
        <v>610</v>
      </c>
      <c r="D22" s="290" t="s">
        <v>793</v>
      </c>
      <c r="E22" s="290" t="s">
        <v>882</v>
      </c>
      <c r="F22" s="290" t="s">
        <v>20</v>
      </c>
      <c r="G22" s="215" t="s">
        <v>19</v>
      </c>
      <c r="H22" s="219"/>
    </row>
    <row r="23" spans="1:8" s="210" customFormat="1" ht="15.75" customHeight="1" x14ac:dyDescent="0.25">
      <c r="A23" s="289" t="s">
        <v>797</v>
      </c>
      <c r="B23" s="289" t="s">
        <v>16</v>
      </c>
      <c r="C23" s="289" t="s">
        <v>797</v>
      </c>
      <c r="D23" s="289" t="s">
        <v>797</v>
      </c>
      <c r="E23" s="289" t="s">
        <v>16</v>
      </c>
      <c r="F23" s="289" t="s">
        <v>480</v>
      </c>
      <c r="G23" s="215" t="s">
        <v>16</v>
      </c>
      <c r="H23" s="219"/>
    </row>
    <row r="24" spans="1:8" s="210" customFormat="1" ht="15.75" customHeight="1" x14ac:dyDescent="0.25">
      <c r="A24" s="289" t="s">
        <v>13</v>
      </c>
      <c r="B24" s="289" t="s">
        <v>923</v>
      </c>
      <c r="C24" s="289" t="s">
        <v>150</v>
      </c>
      <c r="D24" s="289" t="s">
        <v>13</v>
      </c>
      <c r="E24" s="289" t="s">
        <v>923</v>
      </c>
      <c r="F24" s="289" t="s">
        <v>150</v>
      </c>
      <c r="G24" s="215" t="s">
        <v>15</v>
      </c>
      <c r="H24" s="219"/>
    </row>
    <row r="25" spans="1:8" s="210" customFormat="1" ht="15.75" customHeight="1" x14ac:dyDescent="0.25">
      <c r="A25" s="289" t="s">
        <v>164</v>
      </c>
      <c r="B25" s="289" t="s">
        <v>164</v>
      </c>
      <c r="C25" s="289" t="s">
        <v>164</v>
      </c>
      <c r="D25" s="289" t="s">
        <v>164</v>
      </c>
      <c r="E25" s="289" t="s">
        <v>164</v>
      </c>
      <c r="F25" s="289" t="s">
        <v>164</v>
      </c>
      <c r="G25" s="215" t="s">
        <v>102</v>
      </c>
      <c r="H25" s="219"/>
    </row>
    <row r="26" spans="1:8" s="210" customFormat="1" ht="15.75" customHeight="1" x14ac:dyDescent="0.25">
      <c r="A26" s="289" t="s">
        <v>1434</v>
      </c>
      <c r="B26" s="289" t="s">
        <v>1030</v>
      </c>
      <c r="C26" s="289" t="s">
        <v>1041</v>
      </c>
      <c r="D26" s="289" t="s">
        <v>1174</v>
      </c>
      <c r="E26" s="289" t="s">
        <v>983</v>
      </c>
      <c r="F26" s="289" t="s">
        <v>1124</v>
      </c>
      <c r="G26" s="220" t="s">
        <v>105</v>
      </c>
      <c r="H26" s="219"/>
    </row>
    <row r="27" spans="1:8" s="210" customFormat="1" ht="15.75" customHeight="1" x14ac:dyDescent="0.25">
      <c r="A27" s="289" t="s">
        <v>1389</v>
      </c>
      <c r="B27" s="289" t="s">
        <v>1465</v>
      </c>
      <c r="C27" s="289" t="s">
        <v>1137</v>
      </c>
      <c r="D27" s="289" t="s">
        <v>1145</v>
      </c>
      <c r="E27" s="289" t="s">
        <v>1465</v>
      </c>
      <c r="F27" s="289" t="s">
        <v>1145</v>
      </c>
      <c r="G27" s="215" t="s">
        <v>129</v>
      </c>
      <c r="H27" s="219"/>
    </row>
    <row r="28" spans="1:8" s="210" customFormat="1" ht="15.75" customHeight="1" x14ac:dyDescent="0.25">
      <c r="A28" s="289" t="s">
        <v>1053</v>
      </c>
      <c r="B28" s="289" t="s">
        <v>1013</v>
      </c>
      <c r="C28" s="289" t="s">
        <v>1050</v>
      </c>
      <c r="D28" s="289" t="s">
        <v>1057</v>
      </c>
      <c r="E28" s="289" t="s">
        <v>1430</v>
      </c>
      <c r="F28" s="289" t="s">
        <v>1043</v>
      </c>
      <c r="G28" s="215" t="s">
        <v>104</v>
      </c>
      <c r="H28" s="219"/>
    </row>
    <row r="29" spans="1:8" s="210" customFormat="1" ht="15.75" customHeight="1" x14ac:dyDescent="0.25">
      <c r="A29" s="273" t="s">
        <v>1591</v>
      </c>
      <c r="B29" s="273" t="s">
        <v>679</v>
      </c>
      <c r="C29" s="273" t="s">
        <v>1169</v>
      </c>
      <c r="D29" s="273" t="s">
        <v>1422</v>
      </c>
      <c r="E29" s="273" t="s">
        <v>3</v>
      </c>
      <c r="F29" s="273" t="s">
        <v>1423</v>
      </c>
      <c r="G29" s="213" t="s">
        <v>36</v>
      </c>
      <c r="H29" s="326">
        <v>26000</v>
      </c>
    </row>
    <row r="30" spans="1:8" s="210" customFormat="1" ht="15.75" customHeight="1" x14ac:dyDescent="0.2">
      <c r="A30" s="289" t="s">
        <v>1158</v>
      </c>
      <c r="B30" s="295" t="s">
        <v>1196</v>
      </c>
      <c r="C30" s="289" t="s">
        <v>1164</v>
      </c>
      <c r="D30" s="295" t="s">
        <v>1068</v>
      </c>
      <c r="E30" s="289" t="s">
        <v>1501</v>
      </c>
      <c r="F30" s="295" t="s">
        <v>1068</v>
      </c>
      <c r="G30" s="217"/>
      <c r="H30" s="217"/>
    </row>
    <row r="31" spans="1:8" s="210" customFormat="1" ht="15.75" customHeight="1" x14ac:dyDescent="0.2">
      <c r="A31" s="289" t="s">
        <v>157</v>
      </c>
      <c r="B31" s="294" t="s">
        <v>73</v>
      </c>
      <c r="C31" s="289" t="s">
        <v>157</v>
      </c>
      <c r="D31" s="294" t="s">
        <v>73</v>
      </c>
      <c r="E31" s="289" t="s">
        <v>146</v>
      </c>
      <c r="F31" s="294" t="s">
        <v>73</v>
      </c>
      <c r="G31" s="217"/>
      <c r="H31" s="217"/>
    </row>
    <row r="32" spans="1:8" s="210" customFormat="1" ht="15.75" customHeight="1" x14ac:dyDescent="0.25">
      <c r="A32" s="289" t="s">
        <v>1154</v>
      </c>
      <c r="B32" s="289" t="s">
        <v>1197</v>
      </c>
      <c r="C32" s="289" t="s">
        <v>1165</v>
      </c>
      <c r="D32" s="289" t="s">
        <v>1070</v>
      </c>
      <c r="E32" s="289" t="s">
        <v>1273</v>
      </c>
      <c r="F32" s="289" t="s">
        <v>1070</v>
      </c>
      <c r="G32" s="217"/>
      <c r="H32" s="217"/>
    </row>
    <row r="33" spans="1:8" s="210" customFormat="1" ht="15.75" customHeight="1" x14ac:dyDescent="0.2">
      <c r="A33" s="293" t="s">
        <v>41</v>
      </c>
      <c r="B33" s="290" t="s">
        <v>161</v>
      </c>
      <c r="C33" s="293" t="s">
        <v>41</v>
      </c>
      <c r="D33" s="290" t="s">
        <v>161</v>
      </c>
      <c r="E33" s="290" t="s">
        <v>161</v>
      </c>
      <c r="F33" s="290" t="s">
        <v>161</v>
      </c>
      <c r="G33" s="217"/>
      <c r="H33" s="217"/>
    </row>
    <row r="34" spans="1:8" s="210" customFormat="1" ht="15.75" customHeight="1" x14ac:dyDescent="0.2">
      <c r="A34" s="401" t="s">
        <v>163</v>
      </c>
      <c r="B34" s="293" t="s">
        <v>1046</v>
      </c>
      <c r="C34" s="401" t="s">
        <v>795</v>
      </c>
      <c r="D34" s="293" t="s">
        <v>31</v>
      </c>
      <c r="E34" s="290" t="s">
        <v>1119</v>
      </c>
      <c r="F34" s="293" t="s">
        <v>31</v>
      </c>
      <c r="G34" s="217"/>
      <c r="H34" s="217"/>
    </row>
    <row r="35" spans="1:8" s="210" customFormat="1" ht="15.75" customHeight="1" x14ac:dyDescent="0.2">
      <c r="A35" s="290" t="s">
        <v>463</v>
      </c>
      <c r="B35" s="293" t="s">
        <v>20</v>
      </c>
      <c r="C35" s="290" t="s">
        <v>75</v>
      </c>
      <c r="D35" s="293" t="s">
        <v>50</v>
      </c>
      <c r="E35" s="290" t="s">
        <v>20</v>
      </c>
      <c r="F35" s="293" t="s">
        <v>50</v>
      </c>
      <c r="G35" s="217"/>
      <c r="H35" s="217"/>
    </row>
    <row r="36" spans="1:8" s="210" customFormat="1" ht="15.75" customHeight="1" x14ac:dyDescent="0.2">
      <c r="A36" s="289" t="s">
        <v>1160</v>
      </c>
      <c r="B36" s="294" t="s">
        <v>1198</v>
      </c>
      <c r="C36" s="289" t="s">
        <v>903</v>
      </c>
      <c r="D36" s="294" t="s">
        <v>884</v>
      </c>
      <c r="E36" s="289" t="s">
        <v>1503</v>
      </c>
      <c r="F36" s="294" t="s">
        <v>884</v>
      </c>
      <c r="G36" s="217"/>
      <c r="H36" s="217"/>
    </row>
    <row r="37" spans="1:8" s="210" customFormat="1" ht="15.75" customHeight="1" x14ac:dyDescent="0.2">
      <c r="A37" s="289" t="s">
        <v>13</v>
      </c>
      <c r="B37" s="294" t="s">
        <v>150</v>
      </c>
      <c r="C37" s="289" t="s">
        <v>796</v>
      </c>
      <c r="D37" s="294" t="s">
        <v>15</v>
      </c>
      <c r="E37" s="289" t="s">
        <v>1118</v>
      </c>
      <c r="F37" s="294" t="s">
        <v>15</v>
      </c>
      <c r="G37" s="217"/>
      <c r="H37" s="217"/>
    </row>
    <row r="38" spans="1:8" s="210" customFormat="1" ht="15.75" customHeight="1" x14ac:dyDescent="0.2">
      <c r="A38" s="289" t="s">
        <v>1161</v>
      </c>
      <c r="B38" s="294" t="s">
        <v>1071</v>
      </c>
      <c r="C38" s="289" t="s">
        <v>203</v>
      </c>
      <c r="D38" s="294" t="s">
        <v>1071</v>
      </c>
      <c r="E38" s="289" t="s">
        <v>164</v>
      </c>
      <c r="F38" s="294" t="s">
        <v>1071</v>
      </c>
      <c r="G38" s="217"/>
      <c r="H38" s="217"/>
    </row>
    <row r="39" spans="1:8" s="210" customFormat="1" ht="15.75" customHeight="1" x14ac:dyDescent="0.25">
      <c r="A39" s="289" t="s">
        <v>1166</v>
      </c>
      <c r="B39" s="289" t="s">
        <v>1495</v>
      </c>
      <c r="C39" s="289" t="s">
        <v>1146</v>
      </c>
      <c r="D39" s="289" t="s">
        <v>1083</v>
      </c>
      <c r="E39" s="289" t="s">
        <v>1466</v>
      </c>
      <c r="F39" s="289" t="s">
        <v>1083</v>
      </c>
      <c r="G39" s="217"/>
      <c r="H39" s="217"/>
    </row>
    <row r="40" spans="1:8" s="210" customFormat="1" ht="15.75" customHeight="1" x14ac:dyDescent="0.2">
      <c r="A40" s="289" t="s">
        <v>1168</v>
      </c>
      <c r="B40" s="295" t="s">
        <v>1496</v>
      </c>
      <c r="C40" s="289" t="s">
        <v>1163</v>
      </c>
      <c r="D40" s="295" t="s">
        <v>1531</v>
      </c>
      <c r="E40" s="289" t="s">
        <v>1139</v>
      </c>
      <c r="F40" s="295" t="s">
        <v>1531</v>
      </c>
      <c r="G40" s="217"/>
      <c r="H40" s="217"/>
    </row>
    <row r="41" spans="1:8" s="210" customFormat="1" ht="15.75" customHeight="1" x14ac:dyDescent="0.2">
      <c r="A41" s="289" t="s">
        <v>1162</v>
      </c>
      <c r="B41" s="294" t="s">
        <v>1111</v>
      </c>
      <c r="C41" s="289" t="s">
        <v>1167</v>
      </c>
      <c r="D41" s="294" t="s">
        <v>1073</v>
      </c>
      <c r="E41" s="289" t="s">
        <v>1502</v>
      </c>
      <c r="F41" s="294" t="s">
        <v>1073</v>
      </c>
      <c r="G41" s="217"/>
      <c r="H41" s="217"/>
    </row>
    <row r="42" spans="1:8" s="210" customFormat="1" ht="15.75" customHeight="1" x14ac:dyDescent="0.25">
      <c r="A42" s="273" t="s">
        <v>1591</v>
      </c>
      <c r="B42" s="273" t="s">
        <v>1409</v>
      </c>
      <c r="C42" s="273" t="s">
        <v>100</v>
      </c>
      <c r="D42" s="273" t="s">
        <v>1528</v>
      </c>
      <c r="E42" s="273" t="s">
        <v>3</v>
      </c>
      <c r="F42" s="273" t="s">
        <v>1423</v>
      </c>
      <c r="G42" s="213" t="s">
        <v>36</v>
      </c>
      <c r="H42" s="326">
        <v>26000</v>
      </c>
    </row>
    <row r="43" spans="1:8" s="210" customFormat="1" ht="15.75" customHeight="1" x14ac:dyDescent="0.25">
      <c r="A43" s="289" t="s">
        <v>1588</v>
      </c>
      <c r="B43" s="289" t="s">
        <v>1511</v>
      </c>
      <c r="C43" s="289" t="s">
        <v>945</v>
      </c>
      <c r="D43" s="289" t="s">
        <v>1534</v>
      </c>
      <c r="E43" s="289" t="s">
        <v>1504</v>
      </c>
      <c r="F43" s="289" t="s">
        <v>1535</v>
      </c>
      <c r="G43" s="217"/>
      <c r="H43" s="217"/>
    </row>
    <row r="44" spans="1:8" s="210" customFormat="1" ht="15.75" customHeight="1" x14ac:dyDescent="0.25">
      <c r="A44" s="289" t="s">
        <v>157</v>
      </c>
      <c r="B44" s="289" t="s">
        <v>146</v>
      </c>
      <c r="C44" s="289" t="s">
        <v>146</v>
      </c>
      <c r="D44" s="289" t="s">
        <v>146</v>
      </c>
      <c r="E44" s="289" t="s">
        <v>146</v>
      </c>
      <c r="F44" s="289" t="s">
        <v>146</v>
      </c>
      <c r="G44" s="217"/>
      <c r="H44" s="217"/>
    </row>
    <row r="45" spans="1:8" s="210" customFormat="1" ht="15.75" customHeight="1" x14ac:dyDescent="0.25">
      <c r="A45" s="289" t="s">
        <v>1159</v>
      </c>
      <c r="B45" s="289" t="s">
        <v>1507</v>
      </c>
      <c r="C45" s="289" t="s">
        <v>1611</v>
      </c>
      <c r="D45" s="289" t="s">
        <v>1529</v>
      </c>
      <c r="E45" s="289" t="s">
        <v>1505</v>
      </c>
      <c r="F45" s="289" t="s">
        <v>1529</v>
      </c>
      <c r="G45" s="217"/>
      <c r="H45" s="217"/>
    </row>
    <row r="46" spans="1:8" s="210" customFormat="1" ht="15.75" customHeight="1" x14ac:dyDescent="0.2">
      <c r="A46" s="293" t="s">
        <v>41</v>
      </c>
      <c r="B46" s="290" t="s">
        <v>161</v>
      </c>
      <c r="C46" s="290" t="s">
        <v>161</v>
      </c>
      <c r="D46" s="290" t="s">
        <v>161</v>
      </c>
      <c r="E46" s="290" t="s">
        <v>161</v>
      </c>
      <c r="F46" s="290" t="s">
        <v>161</v>
      </c>
      <c r="G46" s="217"/>
      <c r="H46" s="217"/>
    </row>
    <row r="47" spans="1:8" s="210" customFormat="1" ht="15.75" customHeight="1" x14ac:dyDescent="0.25">
      <c r="A47" s="401" t="s">
        <v>163</v>
      </c>
      <c r="B47" s="290" t="s">
        <v>1060</v>
      </c>
      <c r="C47" s="290" t="s">
        <v>1046</v>
      </c>
      <c r="D47" s="290" t="s">
        <v>1060</v>
      </c>
      <c r="E47" s="290" t="s">
        <v>1119</v>
      </c>
      <c r="F47" s="290" t="s">
        <v>1046</v>
      </c>
      <c r="G47" s="217"/>
      <c r="H47" s="217"/>
    </row>
    <row r="48" spans="1:8" s="210" customFormat="1" ht="15.75" customHeight="1" x14ac:dyDescent="0.25">
      <c r="A48" s="290" t="s">
        <v>873</v>
      </c>
      <c r="B48" s="290" t="s">
        <v>20</v>
      </c>
      <c r="C48" s="290" t="s">
        <v>49</v>
      </c>
      <c r="D48" s="290" t="s">
        <v>20</v>
      </c>
      <c r="E48" s="290" t="s">
        <v>20</v>
      </c>
      <c r="F48" s="290" t="s">
        <v>49</v>
      </c>
      <c r="G48" s="217"/>
      <c r="H48" s="217"/>
    </row>
    <row r="49" spans="1:8" s="210" customFormat="1" ht="15.75" customHeight="1" x14ac:dyDescent="0.25">
      <c r="A49" s="289" t="s">
        <v>1160</v>
      </c>
      <c r="B49" s="289" t="s">
        <v>480</v>
      </c>
      <c r="C49" s="289" t="s">
        <v>797</v>
      </c>
      <c r="D49" s="289" t="s">
        <v>480</v>
      </c>
      <c r="E49" s="289" t="s">
        <v>1503</v>
      </c>
      <c r="F49" s="289" t="s">
        <v>737</v>
      </c>
      <c r="G49" s="217"/>
      <c r="H49" s="217"/>
    </row>
    <row r="50" spans="1:8" s="210" customFormat="1" ht="15.75" customHeight="1" x14ac:dyDescent="0.25">
      <c r="A50" s="289" t="s">
        <v>13</v>
      </c>
      <c r="B50" s="289" t="s">
        <v>162</v>
      </c>
      <c r="C50" s="289" t="s">
        <v>150</v>
      </c>
      <c r="D50" s="289" t="s">
        <v>162</v>
      </c>
      <c r="E50" s="289" t="s">
        <v>1118</v>
      </c>
      <c r="F50" s="289" t="s">
        <v>150</v>
      </c>
      <c r="G50" s="217"/>
      <c r="H50" s="217"/>
    </row>
    <row r="51" spans="1:8" s="210" customFormat="1" ht="15.75" customHeight="1" x14ac:dyDescent="0.25">
      <c r="A51" s="289" t="s">
        <v>1161</v>
      </c>
      <c r="B51" s="289" t="s">
        <v>164</v>
      </c>
      <c r="C51" s="289" t="s">
        <v>164</v>
      </c>
      <c r="D51" s="289" t="s">
        <v>164</v>
      </c>
      <c r="E51" s="289" t="s">
        <v>164</v>
      </c>
      <c r="F51" s="289" t="s">
        <v>203</v>
      </c>
      <c r="G51" s="217"/>
      <c r="H51" s="217"/>
    </row>
    <row r="52" spans="1:8" s="210" customFormat="1" ht="15.75" customHeight="1" x14ac:dyDescent="0.25">
      <c r="A52" s="289" t="s">
        <v>1230</v>
      </c>
      <c r="B52" s="289" t="s">
        <v>1225</v>
      </c>
      <c r="C52" s="289" t="s">
        <v>1612</v>
      </c>
      <c r="D52" s="289" t="s">
        <v>1530</v>
      </c>
      <c r="E52" s="289" t="s">
        <v>1238</v>
      </c>
      <c r="F52" s="289" t="s">
        <v>1530</v>
      </c>
      <c r="G52" s="217"/>
      <c r="H52" s="217"/>
    </row>
    <row r="53" spans="1:8" s="210" customFormat="1" ht="15.75" customHeight="1" x14ac:dyDescent="0.25">
      <c r="A53" s="289" t="s">
        <v>1590</v>
      </c>
      <c r="B53" s="289" t="s">
        <v>1512</v>
      </c>
      <c r="C53" s="289" t="s">
        <v>1538</v>
      </c>
      <c r="D53" s="289" t="s">
        <v>1532</v>
      </c>
      <c r="E53" s="289" t="s">
        <v>1149</v>
      </c>
      <c r="F53" s="289" t="s">
        <v>1533</v>
      </c>
      <c r="G53" s="217"/>
      <c r="H53" s="217"/>
    </row>
    <row r="54" spans="1:8" s="210" customFormat="1" ht="15.75" customHeight="1" x14ac:dyDescent="0.25">
      <c r="A54" s="289" t="s">
        <v>1589</v>
      </c>
      <c r="B54" s="289" t="s">
        <v>1508</v>
      </c>
      <c r="C54" s="289" t="s">
        <v>1516</v>
      </c>
      <c r="D54" s="289" t="s">
        <v>1516</v>
      </c>
      <c r="E54" s="289" t="s">
        <v>1506</v>
      </c>
      <c r="F54" s="289" t="s">
        <v>1516</v>
      </c>
      <c r="G54" s="217"/>
      <c r="H54" s="217"/>
    </row>
    <row r="55" spans="1:8" s="210" customFormat="1" ht="15.75" customHeight="1" x14ac:dyDescent="0.25">
      <c r="A55" s="273" t="s">
        <v>0</v>
      </c>
      <c r="B55" s="273" t="s">
        <v>1409</v>
      </c>
      <c r="C55" s="273" t="s">
        <v>100</v>
      </c>
      <c r="D55" s="273" t="s">
        <v>1528</v>
      </c>
      <c r="E55" s="273" t="s">
        <v>1406</v>
      </c>
      <c r="F55" s="273" t="s">
        <v>1423</v>
      </c>
      <c r="G55" s="213" t="s">
        <v>36</v>
      </c>
      <c r="H55" s="214">
        <v>26000</v>
      </c>
    </row>
    <row r="56" spans="1:8" s="217" customFormat="1" ht="15.75" customHeight="1" x14ac:dyDescent="0.2">
      <c r="A56" s="295"/>
      <c r="B56" s="289" t="s">
        <v>1514</v>
      </c>
      <c r="C56" s="289" t="s">
        <v>1616</v>
      </c>
      <c r="D56" s="289" t="s">
        <v>1527</v>
      </c>
      <c r="E56" s="289" t="s">
        <v>1509</v>
      </c>
      <c r="F56" s="289" t="s">
        <v>1539</v>
      </c>
    </row>
    <row r="57" spans="1:8" s="217" customFormat="1" ht="15.75" customHeight="1" x14ac:dyDescent="0.2">
      <c r="A57" s="295"/>
      <c r="B57" s="289" t="s">
        <v>146</v>
      </c>
      <c r="C57" s="289" t="s">
        <v>146</v>
      </c>
      <c r="D57" s="289" t="s">
        <v>146</v>
      </c>
      <c r="E57" s="289" t="s">
        <v>146</v>
      </c>
      <c r="F57" s="289" t="s">
        <v>146</v>
      </c>
    </row>
    <row r="58" spans="1:8" s="217" customFormat="1" ht="15.75" customHeight="1" x14ac:dyDescent="0.25">
      <c r="A58" s="289"/>
      <c r="B58" s="289" t="s">
        <v>1513</v>
      </c>
      <c r="C58" s="289" t="s">
        <v>1617</v>
      </c>
      <c r="D58" s="289" t="s">
        <v>1536</v>
      </c>
      <c r="E58" s="289" t="s">
        <v>1507</v>
      </c>
      <c r="F58" s="289" t="s">
        <v>1536</v>
      </c>
    </row>
    <row r="59" spans="1:8" s="217" customFormat="1" ht="15.75" customHeight="1" x14ac:dyDescent="0.25">
      <c r="A59" s="290"/>
      <c r="B59" s="290" t="s">
        <v>161</v>
      </c>
      <c r="C59" s="290" t="s">
        <v>161</v>
      </c>
      <c r="D59" s="290" t="s">
        <v>161</v>
      </c>
      <c r="E59" s="290" t="s">
        <v>161</v>
      </c>
      <c r="F59" s="290" t="s">
        <v>161</v>
      </c>
    </row>
    <row r="60" spans="1:8" s="217" customFormat="1" ht="15.75" customHeight="1" x14ac:dyDescent="0.2">
      <c r="A60" s="291"/>
      <c r="B60" s="290" t="s">
        <v>1060</v>
      </c>
      <c r="C60" s="290" t="s">
        <v>1046</v>
      </c>
      <c r="D60" s="290" t="s">
        <v>1060</v>
      </c>
      <c r="E60" s="290" t="s">
        <v>1046</v>
      </c>
      <c r="F60" s="290" t="s">
        <v>1046</v>
      </c>
    </row>
    <row r="61" spans="1:8" s="217" customFormat="1" ht="15.75" customHeight="1" x14ac:dyDescent="0.2">
      <c r="A61" s="291"/>
      <c r="B61" s="290" t="s">
        <v>20</v>
      </c>
      <c r="C61" s="290" t="s">
        <v>801</v>
      </c>
      <c r="D61" s="290" t="s">
        <v>20</v>
      </c>
      <c r="E61" s="290" t="s">
        <v>49</v>
      </c>
      <c r="F61" s="290" t="s">
        <v>49</v>
      </c>
    </row>
    <row r="62" spans="1:8" s="217" customFormat="1" ht="15.75" customHeight="1" x14ac:dyDescent="0.2">
      <c r="A62" s="295"/>
      <c r="B62" s="289" t="s">
        <v>480</v>
      </c>
      <c r="C62" s="289" t="s">
        <v>797</v>
      </c>
      <c r="D62" s="289" t="s">
        <v>480</v>
      </c>
      <c r="E62" s="289" t="s">
        <v>737</v>
      </c>
      <c r="F62" s="289" t="s">
        <v>737</v>
      </c>
    </row>
    <row r="63" spans="1:8" s="217" customFormat="1" ht="15.75" customHeight="1" x14ac:dyDescent="0.2">
      <c r="A63" s="295"/>
      <c r="B63" s="289" t="s">
        <v>162</v>
      </c>
      <c r="C63" s="289" t="s">
        <v>150</v>
      </c>
      <c r="D63" s="289" t="s">
        <v>162</v>
      </c>
      <c r="E63" s="289" t="s">
        <v>150</v>
      </c>
      <c r="F63" s="289" t="s">
        <v>150</v>
      </c>
    </row>
    <row r="64" spans="1:8" s="217" customFormat="1" ht="15.75" customHeight="1" x14ac:dyDescent="0.2">
      <c r="A64" s="295"/>
      <c r="B64" s="289" t="s">
        <v>164</v>
      </c>
      <c r="C64" s="289" t="s">
        <v>164</v>
      </c>
      <c r="D64" s="289" t="s">
        <v>164</v>
      </c>
      <c r="E64" s="289" t="s">
        <v>203</v>
      </c>
      <c r="F64" s="289" t="s">
        <v>203</v>
      </c>
    </row>
    <row r="65" spans="1:8" s="217" customFormat="1" ht="15.75" customHeight="1" x14ac:dyDescent="0.25">
      <c r="A65" s="289"/>
      <c r="B65" s="289" t="s">
        <v>1515</v>
      </c>
      <c r="C65" s="289" t="s">
        <v>1618</v>
      </c>
      <c r="D65" s="289" t="s">
        <v>1537</v>
      </c>
      <c r="E65" s="289" t="s">
        <v>1225</v>
      </c>
      <c r="F65" s="289" t="s">
        <v>1540</v>
      </c>
    </row>
    <row r="66" spans="1:8" s="217" customFormat="1" ht="15.75" customHeight="1" x14ac:dyDescent="0.2">
      <c r="A66" s="295"/>
      <c r="B66" s="289" t="s">
        <v>1517</v>
      </c>
      <c r="C66" s="289" t="s">
        <v>1604</v>
      </c>
      <c r="D66" s="289" t="s">
        <v>1538</v>
      </c>
      <c r="E66" s="289" t="s">
        <v>1510</v>
      </c>
      <c r="F66" s="289" t="s">
        <v>1541</v>
      </c>
    </row>
    <row r="67" spans="1:8" s="217" customFormat="1" ht="15.75" customHeight="1" x14ac:dyDescent="0.2">
      <c r="A67" s="669"/>
      <c r="B67" s="289" t="s">
        <v>1516</v>
      </c>
      <c r="C67" s="289" t="s">
        <v>1610</v>
      </c>
      <c r="D67" s="289" t="s">
        <v>1516</v>
      </c>
      <c r="E67" s="289" t="s">
        <v>1508</v>
      </c>
      <c r="F67" s="289" t="s">
        <v>1516</v>
      </c>
    </row>
    <row r="68" spans="1:8" s="217" customFormat="1" ht="15.75" customHeight="1" x14ac:dyDescent="0.25">
      <c r="A68" s="273" t="s">
        <v>0</v>
      </c>
      <c r="B68" s="273" t="s">
        <v>679</v>
      </c>
      <c r="C68" s="273" t="s">
        <v>100</v>
      </c>
      <c r="D68" s="273" t="s">
        <v>1420</v>
      </c>
      <c r="E68" s="273" t="s">
        <v>1406</v>
      </c>
      <c r="F68" s="273" t="s">
        <v>25</v>
      </c>
      <c r="G68" s="216" t="s">
        <v>36</v>
      </c>
      <c r="H68" s="216">
        <v>26000</v>
      </c>
    </row>
    <row r="69" spans="1:8" s="217" customFormat="1" ht="15.75" customHeight="1" x14ac:dyDescent="0.2">
      <c r="A69" s="295"/>
      <c r="B69" s="267"/>
      <c r="C69" s="267"/>
      <c r="D69" s="289"/>
      <c r="E69" s="289" t="s">
        <v>1518</v>
      </c>
      <c r="F69" s="289" t="s">
        <v>1613</v>
      </c>
    </row>
    <row r="70" spans="1:8" s="217" customFormat="1" ht="15.75" customHeight="1" x14ac:dyDescent="0.2">
      <c r="A70" s="295"/>
      <c r="B70" s="267"/>
      <c r="C70" s="267"/>
      <c r="D70" s="289"/>
      <c r="E70" s="289" t="s">
        <v>146</v>
      </c>
      <c r="F70" s="289" t="s">
        <v>146</v>
      </c>
    </row>
    <row r="71" spans="1:8" s="217" customFormat="1" ht="15.75" customHeight="1" x14ac:dyDescent="0.25">
      <c r="A71" s="289"/>
      <c r="B71" s="267"/>
      <c r="C71" s="267"/>
      <c r="D71" s="289"/>
      <c r="E71" s="289" t="s">
        <v>1513</v>
      </c>
      <c r="F71" s="289" t="s">
        <v>1614</v>
      </c>
    </row>
    <row r="72" spans="1:8" s="217" customFormat="1" ht="15.75" customHeight="1" x14ac:dyDescent="0.25">
      <c r="A72" s="290"/>
      <c r="B72" s="267"/>
      <c r="C72" s="267"/>
      <c r="D72" s="290"/>
      <c r="E72" s="290" t="s">
        <v>161</v>
      </c>
      <c r="F72" s="290" t="s">
        <v>161</v>
      </c>
    </row>
    <row r="73" spans="1:8" s="217" customFormat="1" ht="15.75" customHeight="1" x14ac:dyDescent="0.2">
      <c r="A73" s="291"/>
      <c r="B73" s="267"/>
      <c r="C73" s="267"/>
      <c r="D73" s="290"/>
      <c r="E73" s="290" t="s">
        <v>1046</v>
      </c>
      <c r="F73" s="290" t="s">
        <v>163</v>
      </c>
    </row>
    <row r="74" spans="1:8" s="217" customFormat="1" ht="15.75" customHeight="1" x14ac:dyDescent="0.2">
      <c r="A74" s="291"/>
      <c r="B74" s="267"/>
      <c r="C74" s="267"/>
      <c r="D74" s="290"/>
      <c r="E74" s="290" t="s">
        <v>49</v>
      </c>
      <c r="F74" s="290" t="s">
        <v>1094</v>
      </c>
    </row>
    <row r="75" spans="1:8" s="217" customFormat="1" ht="15.75" customHeight="1" x14ac:dyDescent="0.2">
      <c r="A75" s="295"/>
      <c r="B75" s="267"/>
      <c r="C75" s="267"/>
      <c r="D75" s="289"/>
      <c r="E75" s="289" t="s">
        <v>737</v>
      </c>
      <c r="F75" s="289" t="s">
        <v>480</v>
      </c>
    </row>
    <row r="76" spans="1:8" s="217" customFormat="1" ht="15.75" customHeight="1" x14ac:dyDescent="0.2">
      <c r="A76" s="295"/>
      <c r="B76" s="267"/>
      <c r="C76" s="267"/>
      <c r="D76" s="289"/>
      <c r="E76" s="289" t="s">
        <v>150</v>
      </c>
      <c r="F76" s="289" t="s">
        <v>13</v>
      </c>
    </row>
    <row r="77" spans="1:8" s="217" customFormat="1" ht="15.75" customHeight="1" x14ac:dyDescent="0.2">
      <c r="A77" s="295"/>
      <c r="B77" s="267"/>
      <c r="C77" s="267"/>
      <c r="D77" s="289"/>
      <c r="E77" s="289" t="s">
        <v>203</v>
      </c>
      <c r="F77" s="289" t="s">
        <v>164</v>
      </c>
    </row>
    <row r="78" spans="1:8" s="217" customFormat="1" ht="15.75" customHeight="1" x14ac:dyDescent="0.25">
      <c r="A78" s="289"/>
      <c r="B78" s="267"/>
      <c r="C78" s="267"/>
      <c r="D78" s="289"/>
      <c r="E78" s="289" t="s">
        <v>1519</v>
      </c>
      <c r="F78" s="289" t="s">
        <v>1580</v>
      </c>
    </row>
    <row r="79" spans="1:8" s="217" customFormat="1" ht="15.75" customHeight="1" x14ac:dyDescent="0.2">
      <c r="A79" s="295"/>
      <c r="B79" s="267"/>
      <c r="C79" s="267"/>
      <c r="D79" s="289"/>
      <c r="E79" s="289" t="s">
        <v>1520</v>
      </c>
      <c r="F79" s="289" t="s">
        <v>1615</v>
      </c>
    </row>
    <row r="80" spans="1:8" s="217" customFormat="1" ht="15.75" customHeight="1" x14ac:dyDescent="0.2">
      <c r="A80" s="669"/>
      <c r="B80" s="267"/>
      <c r="C80" s="267"/>
      <c r="D80" s="289"/>
      <c r="E80" s="289" t="s">
        <v>1516</v>
      </c>
      <c r="F80" s="289" t="s">
        <v>1610</v>
      </c>
    </row>
    <row r="81" spans="1:6" s="217" customFormat="1" ht="15.75" customHeight="1" x14ac:dyDescent="0.25">
      <c r="A81" s="273" t="s">
        <v>0</v>
      </c>
      <c r="B81" s="273" t="s">
        <v>679</v>
      </c>
      <c r="C81" s="273" t="s">
        <v>100</v>
      </c>
      <c r="D81" s="273" t="s">
        <v>1420</v>
      </c>
      <c r="E81" s="273" t="s">
        <v>3</v>
      </c>
      <c r="F81" s="273" t="s">
        <v>25</v>
      </c>
    </row>
    <row r="82" spans="1:6" s="217" customFormat="1" ht="15.75" customHeight="1" x14ac:dyDescent="0.25">
      <c r="A82" s="267"/>
      <c r="B82" s="267"/>
      <c r="C82" s="267"/>
      <c r="D82" s="289"/>
      <c r="E82" s="267"/>
      <c r="F82" s="289"/>
    </row>
    <row r="83" spans="1:6" s="217" customFormat="1" ht="15.75" customHeight="1" x14ac:dyDescent="0.25">
      <c r="A83" s="267"/>
      <c r="B83" s="267"/>
      <c r="C83" s="267"/>
      <c r="D83" s="289"/>
      <c r="E83" s="267"/>
      <c r="F83" s="289"/>
    </row>
    <row r="84" spans="1:6" s="217" customFormat="1" ht="15.75" customHeight="1" x14ac:dyDescent="0.25">
      <c r="A84" s="267"/>
      <c r="B84" s="267"/>
      <c r="C84" s="267"/>
      <c r="D84" s="289"/>
      <c r="E84" s="267"/>
      <c r="F84" s="289"/>
    </row>
    <row r="85" spans="1:6" s="217" customFormat="1" ht="15.75" customHeight="1" x14ac:dyDescent="0.25">
      <c r="A85" s="267"/>
      <c r="B85" s="267"/>
      <c r="C85" s="267"/>
      <c r="D85" s="290"/>
      <c r="E85" s="267"/>
      <c r="F85" s="290"/>
    </row>
    <row r="86" spans="1:6" s="217" customFormat="1" ht="15.75" customHeight="1" x14ac:dyDescent="0.2">
      <c r="A86" s="267"/>
      <c r="B86" s="267"/>
      <c r="C86" s="267"/>
      <c r="D86" s="290"/>
      <c r="E86" s="267"/>
      <c r="F86" s="291"/>
    </row>
    <row r="87" spans="1:6" s="217" customFormat="1" ht="15.75" customHeight="1" x14ac:dyDescent="0.25">
      <c r="A87" s="267"/>
      <c r="B87" s="267"/>
      <c r="C87" s="267"/>
      <c r="D87" s="290"/>
      <c r="E87" s="267"/>
      <c r="F87" s="290"/>
    </row>
    <row r="88" spans="1:6" s="217" customFormat="1" ht="15.75" customHeight="1" x14ac:dyDescent="0.25">
      <c r="A88" s="267"/>
      <c r="B88" s="267"/>
      <c r="C88" s="267"/>
      <c r="D88" s="289"/>
      <c r="E88" s="267"/>
      <c r="F88" s="289"/>
    </row>
    <row r="89" spans="1:6" s="217" customFormat="1" ht="15.75" customHeight="1" x14ac:dyDescent="0.25">
      <c r="A89" s="267"/>
      <c r="B89" s="267"/>
      <c r="C89" s="267"/>
      <c r="D89" s="289"/>
      <c r="E89" s="267"/>
      <c r="F89" s="289"/>
    </row>
    <row r="90" spans="1:6" s="217" customFormat="1" ht="15.75" customHeight="1" x14ac:dyDescent="0.25">
      <c r="A90" s="267"/>
      <c r="B90" s="267"/>
      <c r="C90" s="267"/>
      <c r="D90" s="289"/>
      <c r="E90" s="267"/>
      <c r="F90" s="289"/>
    </row>
    <row r="91" spans="1:6" s="217" customFormat="1" ht="15.75" customHeight="1" x14ac:dyDescent="0.25">
      <c r="A91" s="267"/>
      <c r="B91" s="267"/>
      <c r="C91" s="267"/>
      <c r="D91" s="289"/>
      <c r="E91" s="267"/>
      <c r="F91" s="289"/>
    </row>
    <row r="92" spans="1:6" s="217" customFormat="1" ht="15.75" customHeight="1" x14ac:dyDescent="0.25">
      <c r="A92" s="267"/>
      <c r="B92" s="267"/>
      <c r="C92" s="267"/>
      <c r="D92" s="289"/>
      <c r="E92" s="267"/>
      <c r="F92" s="289"/>
    </row>
    <row r="93" spans="1:6" s="217" customFormat="1" ht="15.75" customHeight="1" x14ac:dyDescent="0.25">
      <c r="A93" s="267"/>
      <c r="B93" s="267"/>
      <c r="C93" s="267"/>
      <c r="D93" s="289"/>
      <c r="E93" s="267"/>
      <c r="F93" s="289"/>
    </row>
    <row r="94" spans="1:6" s="217" customFormat="1" ht="15.75" customHeight="1" x14ac:dyDescent="0.25">
      <c r="A94" s="273" t="s">
        <v>0</v>
      </c>
      <c r="B94" s="273" t="s">
        <v>679</v>
      </c>
      <c r="C94" s="273" t="s">
        <v>100</v>
      </c>
      <c r="D94" s="273" t="s">
        <v>1420</v>
      </c>
      <c r="E94" s="273" t="s">
        <v>3</v>
      </c>
      <c r="F94" s="273" t="s">
        <v>25</v>
      </c>
    </row>
    <row r="95" spans="1:6" s="217" customFormat="1" ht="15.75" customHeight="1" x14ac:dyDescent="0.25">
      <c r="A95" s="267"/>
      <c r="B95" s="267"/>
      <c r="C95" s="267"/>
      <c r="D95" s="289"/>
      <c r="E95" s="267"/>
      <c r="F95" s="267"/>
    </row>
    <row r="96" spans="1:6" s="217" customFormat="1" ht="15.75" customHeight="1" x14ac:dyDescent="0.25">
      <c r="A96" s="267"/>
      <c r="B96" s="267"/>
      <c r="C96" s="267"/>
      <c r="D96" s="289"/>
      <c r="E96" s="267"/>
      <c r="F96" s="267"/>
    </row>
    <row r="97" spans="1:8" s="217" customFormat="1" ht="15.75" customHeight="1" x14ac:dyDescent="0.25">
      <c r="A97" s="267"/>
      <c r="B97" s="267"/>
      <c r="C97" s="267"/>
      <c r="D97" s="289"/>
      <c r="E97" s="267"/>
      <c r="F97" s="267"/>
    </row>
    <row r="98" spans="1:8" s="217" customFormat="1" ht="15.75" customHeight="1" x14ac:dyDescent="0.25">
      <c r="A98" s="267"/>
      <c r="B98" s="267"/>
      <c r="C98" s="267"/>
      <c r="D98" s="290"/>
      <c r="E98" s="267"/>
      <c r="F98" s="267"/>
    </row>
    <row r="99" spans="1:8" s="217" customFormat="1" ht="15.75" customHeight="1" x14ac:dyDescent="0.25">
      <c r="A99" s="267"/>
      <c r="B99" s="267"/>
      <c r="C99" s="267"/>
      <c r="D99" s="290"/>
      <c r="E99" s="267"/>
      <c r="F99" s="267"/>
    </row>
    <row r="100" spans="1:8" s="217" customFormat="1" ht="15.75" customHeight="1" x14ac:dyDescent="0.25">
      <c r="A100" s="267"/>
      <c r="B100" s="267"/>
      <c r="C100" s="267"/>
      <c r="D100" s="290"/>
      <c r="E100" s="267"/>
      <c r="F100" s="267"/>
    </row>
    <row r="101" spans="1:8" s="217" customFormat="1" ht="15.75" customHeight="1" x14ac:dyDescent="0.25">
      <c r="A101" s="267"/>
      <c r="B101" s="267"/>
      <c r="C101" s="267"/>
      <c r="D101" s="289"/>
      <c r="E101" s="267"/>
      <c r="F101" s="267"/>
    </row>
    <row r="102" spans="1:8" s="217" customFormat="1" ht="15.75" customHeight="1" x14ac:dyDescent="0.25">
      <c r="A102" s="267"/>
      <c r="B102" s="267"/>
      <c r="C102" s="267"/>
      <c r="D102" s="289"/>
      <c r="E102" s="267"/>
      <c r="F102" s="267"/>
    </row>
    <row r="103" spans="1:8" s="217" customFormat="1" ht="15.75" customHeight="1" x14ac:dyDescent="0.25">
      <c r="A103" s="267"/>
      <c r="B103" s="267"/>
      <c r="C103" s="267"/>
      <c r="D103" s="289"/>
      <c r="E103" s="267"/>
      <c r="F103" s="267"/>
    </row>
    <row r="104" spans="1:8" s="217" customFormat="1" ht="15.75" customHeight="1" x14ac:dyDescent="0.25">
      <c r="A104" s="267"/>
      <c r="B104" s="267"/>
      <c r="C104" s="267"/>
      <c r="D104" s="289"/>
      <c r="E104" s="267"/>
      <c r="F104" s="267"/>
    </row>
    <row r="105" spans="1:8" s="217" customFormat="1" ht="15.75" customHeight="1" x14ac:dyDescent="0.25">
      <c r="A105" s="267"/>
      <c r="B105" s="267"/>
      <c r="C105" s="267"/>
      <c r="D105" s="289"/>
      <c r="E105" s="267"/>
      <c r="F105" s="267"/>
    </row>
    <row r="106" spans="1:8" s="217" customFormat="1" ht="15.75" customHeight="1" x14ac:dyDescent="0.25">
      <c r="A106" s="267"/>
      <c r="B106" s="267"/>
      <c r="C106" s="267"/>
      <c r="D106" s="289"/>
      <c r="E106" s="267"/>
      <c r="F106" s="267"/>
    </row>
    <row r="107" spans="1:8" s="217" customFormat="1" ht="15.75" customHeight="1" x14ac:dyDescent="0.25">
      <c r="A107" s="273" t="s">
        <v>0</v>
      </c>
      <c r="B107" s="273" t="s">
        <v>4</v>
      </c>
      <c r="C107" s="273" t="s">
        <v>100</v>
      </c>
      <c r="D107" s="273" t="s">
        <v>1420</v>
      </c>
      <c r="E107" s="273" t="s">
        <v>3</v>
      </c>
      <c r="F107" s="273" t="s">
        <v>25</v>
      </c>
      <c r="G107" s="216" t="s">
        <v>36</v>
      </c>
      <c r="H107" s="216">
        <v>26000</v>
      </c>
    </row>
    <row r="108" spans="1:8" s="217" customFormat="1" ht="15.75" customHeight="1" x14ac:dyDescent="0.25">
      <c r="A108" s="267"/>
      <c r="B108" s="267"/>
      <c r="C108" s="267"/>
      <c r="D108" s="289"/>
      <c r="E108" s="267"/>
      <c r="F108" s="289"/>
    </row>
    <row r="109" spans="1:8" s="217" customFormat="1" ht="15.75" customHeight="1" x14ac:dyDescent="0.25">
      <c r="A109" s="267"/>
      <c r="B109" s="267"/>
      <c r="C109" s="267"/>
      <c r="D109" s="289"/>
      <c r="E109" s="267"/>
      <c r="F109" s="289"/>
    </row>
    <row r="110" spans="1:8" s="217" customFormat="1" ht="15.75" customHeight="1" x14ac:dyDescent="0.25">
      <c r="A110" s="267"/>
      <c r="B110" s="267"/>
      <c r="C110" s="267"/>
      <c r="D110" s="289"/>
      <c r="E110" s="267"/>
      <c r="F110" s="289"/>
    </row>
    <row r="111" spans="1:8" s="217" customFormat="1" ht="15.75" customHeight="1" x14ac:dyDescent="0.25">
      <c r="A111" s="267"/>
      <c r="B111" s="267"/>
      <c r="C111" s="267"/>
      <c r="D111" s="290"/>
      <c r="E111" s="267"/>
      <c r="F111" s="290"/>
    </row>
    <row r="112" spans="1:8" s="217" customFormat="1" ht="15.75" customHeight="1" x14ac:dyDescent="0.25">
      <c r="A112" s="267"/>
      <c r="B112" s="267"/>
      <c r="C112" s="267"/>
      <c r="D112" s="290"/>
      <c r="E112" s="267"/>
      <c r="F112" s="290"/>
    </row>
    <row r="113" spans="1:8" s="217" customFormat="1" ht="15.75" customHeight="1" x14ac:dyDescent="0.25">
      <c r="A113" s="267"/>
      <c r="B113" s="267"/>
      <c r="C113" s="267"/>
      <c r="D113" s="290"/>
      <c r="E113" s="267"/>
      <c r="F113" s="290"/>
    </row>
    <row r="114" spans="1:8" s="217" customFormat="1" ht="15.75" customHeight="1" x14ac:dyDescent="0.25">
      <c r="A114" s="267"/>
      <c r="B114" s="267"/>
      <c r="C114" s="267"/>
      <c r="D114" s="289"/>
      <c r="E114" s="267"/>
      <c r="F114" s="289"/>
    </row>
    <row r="115" spans="1:8" s="217" customFormat="1" ht="15.75" customHeight="1" x14ac:dyDescent="0.25">
      <c r="A115" s="267"/>
      <c r="B115" s="267"/>
      <c r="C115" s="267"/>
      <c r="D115" s="289"/>
      <c r="E115" s="267"/>
      <c r="F115" s="289"/>
    </row>
    <row r="116" spans="1:8" s="217" customFormat="1" ht="15.75" customHeight="1" x14ac:dyDescent="0.25">
      <c r="A116" s="267"/>
      <c r="B116" s="267"/>
      <c r="C116" s="267"/>
      <c r="D116" s="289"/>
      <c r="E116" s="267"/>
      <c r="F116" s="289"/>
    </row>
    <row r="117" spans="1:8" s="217" customFormat="1" ht="15.75" customHeight="1" x14ac:dyDescent="0.25">
      <c r="A117" s="267"/>
      <c r="B117" s="267"/>
      <c r="C117" s="267"/>
      <c r="D117" s="289"/>
      <c r="E117" s="267"/>
      <c r="F117" s="289"/>
    </row>
    <row r="118" spans="1:8" s="217" customFormat="1" ht="15.75" customHeight="1" x14ac:dyDescent="0.25">
      <c r="A118" s="267"/>
      <c r="B118" s="267"/>
      <c r="C118" s="267"/>
      <c r="D118" s="289"/>
      <c r="E118" s="267"/>
      <c r="F118" s="289"/>
    </row>
    <row r="119" spans="1:8" s="217" customFormat="1" ht="15.75" customHeight="1" x14ac:dyDescent="0.25">
      <c r="A119" s="267"/>
      <c r="B119" s="267"/>
      <c r="C119" s="267"/>
      <c r="D119" s="289"/>
      <c r="E119" s="267"/>
      <c r="F119" s="289"/>
    </row>
    <row r="120" spans="1:8" s="217" customFormat="1" ht="15.75" customHeight="1" x14ac:dyDescent="0.25">
      <c r="A120" s="273" t="s">
        <v>0</v>
      </c>
      <c r="B120" s="273" t="s">
        <v>4</v>
      </c>
      <c r="C120" s="273" t="s">
        <v>100</v>
      </c>
      <c r="D120" s="273" t="s">
        <v>1420</v>
      </c>
      <c r="E120" s="273" t="s">
        <v>3</v>
      </c>
      <c r="F120" s="273" t="s">
        <v>25</v>
      </c>
      <c r="G120" s="216" t="s">
        <v>36</v>
      </c>
      <c r="H120" s="216">
        <v>26000</v>
      </c>
    </row>
    <row r="121" spans="1:8" s="217" customFormat="1" ht="15.75" customHeight="1" x14ac:dyDescent="0.25">
      <c r="A121" s="267"/>
      <c r="B121" s="267"/>
      <c r="C121" s="267"/>
      <c r="D121" s="289"/>
      <c r="E121" s="289"/>
      <c r="F121" s="289"/>
    </row>
    <row r="122" spans="1:8" s="217" customFormat="1" ht="15.75" customHeight="1" x14ac:dyDescent="0.25">
      <c r="A122" s="267"/>
      <c r="B122" s="267"/>
      <c r="C122" s="267"/>
      <c r="D122" s="289"/>
      <c r="E122" s="289"/>
      <c r="F122" s="289"/>
    </row>
    <row r="123" spans="1:8" s="217" customFormat="1" ht="15.75" customHeight="1" x14ac:dyDescent="0.25">
      <c r="A123" s="267"/>
      <c r="B123" s="267"/>
      <c r="C123" s="267"/>
      <c r="D123" s="289"/>
      <c r="E123" s="289"/>
      <c r="F123" s="289"/>
    </row>
    <row r="124" spans="1:8" s="217" customFormat="1" ht="15.75" customHeight="1" x14ac:dyDescent="0.25">
      <c r="A124" s="267"/>
      <c r="B124" s="267"/>
      <c r="C124" s="267"/>
      <c r="D124" s="290"/>
      <c r="E124" s="290"/>
      <c r="F124" s="290"/>
    </row>
    <row r="125" spans="1:8" s="217" customFormat="1" ht="15.75" customHeight="1" x14ac:dyDescent="0.25">
      <c r="A125" s="267"/>
      <c r="B125" s="267"/>
      <c r="C125" s="267"/>
      <c r="D125" s="290"/>
      <c r="E125" s="290"/>
      <c r="F125" s="290"/>
    </row>
    <row r="126" spans="1:8" s="217" customFormat="1" ht="15.75" customHeight="1" x14ac:dyDescent="0.25">
      <c r="A126" s="267"/>
      <c r="B126" s="267"/>
      <c r="C126" s="267"/>
      <c r="D126" s="290"/>
      <c r="E126" s="290"/>
      <c r="F126" s="290"/>
    </row>
    <row r="127" spans="1:8" s="217" customFormat="1" ht="15.75" customHeight="1" x14ac:dyDescent="0.25">
      <c r="A127" s="267"/>
      <c r="B127" s="267"/>
      <c r="C127" s="267"/>
      <c r="D127" s="289"/>
      <c r="E127" s="289"/>
      <c r="F127" s="289"/>
    </row>
    <row r="128" spans="1:8" s="217" customFormat="1" ht="15.75" customHeight="1" x14ac:dyDescent="0.25">
      <c r="A128" s="267"/>
      <c r="B128" s="267"/>
      <c r="C128" s="267"/>
      <c r="D128" s="289"/>
      <c r="E128" s="289"/>
      <c r="F128" s="289"/>
    </row>
    <row r="129" spans="1:8" s="217" customFormat="1" ht="15.75" customHeight="1" x14ac:dyDescent="0.25">
      <c r="A129" s="267"/>
      <c r="B129" s="267"/>
      <c r="C129" s="267"/>
      <c r="D129" s="289"/>
      <c r="E129" s="289"/>
      <c r="F129" s="289"/>
    </row>
    <row r="130" spans="1:8" s="217" customFormat="1" ht="15.75" customHeight="1" x14ac:dyDescent="0.25">
      <c r="A130" s="267"/>
      <c r="B130" s="267"/>
      <c r="C130" s="267"/>
      <c r="D130" s="289"/>
      <c r="E130" s="289"/>
      <c r="F130" s="289"/>
    </row>
    <row r="131" spans="1:8" s="217" customFormat="1" ht="15.75" customHeight="1" x14ac:dyDescent="0.25">
      <c r="A131" s="267"/>
      <c r="B131" s="267"/>
      <c r="C131" s="267"/>
      <c r="D131" s="289"/>
      <c r="E131" s="289"/>
      <c r="F131" s="289"/>
    </row>
    <row r="132" spans="1:8" s="217" customFormat="1" ht="15.75" customHeight="1" x14ac:dyDescent="0.25">
      <c r="A132" s="267"/>
      <c r="B132" s="267"/>
      <c r="C132" s="267"/>
      <c r="D132" s="289"/>
      <c r="E132" s="289"/>
      <c r="F132" s="289"/>
    </row>
    <row r="133" spans="1:8" s="217" customFormat="1" ht="15.75" customHeight="1" x14ac:dyDescent="0.25">
      <c r="A133" s="273" t="s">
        <v>0</v>
      </c>
      <c r="B133" s="273" t="s">
        <v>4</v>
      </c>
      <c r="C133" s="273" t="s">
        <v>100</v>
      </c>
      <c r="D133" s="273" t="s">
        <v>1420</v>
      </c>
      <c r="E133" s="273" t="s">
        <v>3</v>
      </c>
      <c r="F133" s="273" t="s">
        <v>25</v>
      </c>
      <c r="G133" s="216" t="s">
        <v>36</v>
      </c>
      <c r="H133" s="216">
        <v>26000</v>
      </c>
    </row>
    <row r="134" spans="1:8" s="217" customFormat="1" ht="15.75" customHeight="1" x14ac:dyDescent="0.25">
      <c r="A134" s="267"/>
      <c r="B134" s="267"/>
      <c r="C134" s="267"/>
      <c r="D134" s="289"/>
      <c r="E134" s="267"/>
      <c r="F134" s="267"/>
    </row>
    <row r="135" spans="1:8" s="217" customFormat="1" ht="15.75" customHeight="1" x14ac:dyDescent="0.25">
      <c r="A135" s="267"/>
      <c r="B135" s="267"/>
      <c r="C135" s="267"/>
      <c r="D135" s="289"/>
      <c r="E135" s="267"/>
      <c r="F135" s="267"/>
    </row>
    <row r="136" spans="1:8" s="217" customFormat="1" ht="15.75" customHeight="1" x14ac:dyDescent="0.25">
      <c r="A136" s="267"/>
      <c r="B136" s="267"/>
      <c r="C136" s="267"/>
      <c r="D136" s="289"/>
      <c r="E136" s="267"/>
      <c r="F136" s="267"/>
    </row>
    <row r="137" spans="1:8" s="217" customFormat="1" ht="15.75" customHeight="1" x14ac:dyDescent="0.25">
      <c r="A137" s="267"/>
      <c r="B137" s="267"/>
      <c r="C137" s="267"/>
      <c r="D137" s="290"/>
      <c r="E137" s="267"/>
      <c r="F137" s="267"/>
    </row>
    <row r="138" spans="1:8" s="217" customFormat="1" ht="15.75" customHeight="1" x14ac:dyDescent="0.25">
      <c r="A138" s="267"/>
      <c r="B138" s="267"/>
      <c r="C138" s="267"/>
      <c r="D138" s="290"/>
      <c r="E138" s="267"/>
      <c r="F138" s="267"/>
    </row>
    <row r="139" spans="1:8" s="217" customFormat="1" ht="15.75" customHeight="1" x14ac:dyDescent="0.25">
      <c r="A139" s="267"/>
      <c r="B139" s="267"/>
      <c r="C139" s="267"/>
      <c r="D139" s="290"/>
      <c r="E139" s="267"/>
      <c r="F139" s="267"/>
    </row>
    <row r="140" spans="1:8" s="217" customFormat="1" ht="15.75" customHeight="1" x14ac:dyDescent="0.25">
      <c r="A140" s="267"/>
      <c r="B140" s="267"/>
      <c r="C140" s="267"/>
      <c r="D140" s="289"/>
      <c r="E140" s="267"/>
      <c r="F140" s="267"/>
    </row>
    <row r="141" spans="1:8" s="217" customFormat="1" ht="15.75" customHeight="1" x14ac:dyDescent="0.25">
      <c r="A141" s="267"/>
      <c r="B141" s="267"/>
      <c r="C141" s="267"/>
      <c r="D141" s="289"/>
      <c r="E141" s="267"/>
      <c r="F141" s="267"/>
    </row>
    <row r="142" spans="1:8" s="217" customFormat="1" ht="15.75" customHeight="1" x14ac:dyDescent="0.25">
      <c r="A142" s="267"/>
      <c r="B142" s="267"/>
      <c r="C142" s="267"/>
      <c r="D142" s="289"/>
      <c r="E142" s="267"/>
      <c r="F142" s="267"/>
    </row>
    <row r="143" spans="1:8" s="217" customFormat="1" ht="15.75" customHeight="1" x14ac:dyDescent="0.25">
      <c r="A143" s="267"/>
      <c r="B143" s="267"/>
      <c r="C143" s="267"/>
      <c r="D143" s="289"/>
      <c r="E143" s="267"/>
      <c r="F143" s="267"/>
    </row>
    <row r="144" spans="1:8" s="217" customFormat="1" ht="15.75" customHeight="1" x14ac:dyDescent="0.25">
      <c r="A144" s="267"/>
      <c r="B144" s="267"/>
      <c r="C144" s="267"/>
      <c r="D144" s="289"/>
      <c r="E144" s="267"/>
      <c r="F144" s="267"/>
    </row>
    <row r="145" spans="1:8" s="217" customFormat="1" ht="15.75" customHeight="1" x14ac:dyDescent="0.25">
      <c r="A145" s="267"/>
      <c r="B145" s="267"/>
      <c r="C145" s="267"/>
      <c r="D145" s="289"/>
      <c r="E145" s="267"/>
      <c r="F145" s="267"/>
    </row>
    <row r="146" spans="1:8" s="217" customFormat="1" ht="15.75" customHeight="1" x14ac:dyDescent="0.25">
      <c r="A146" s="273" t="s">
        <v>0</v>
      </c>
      <c r="B146" s="273" t="s">
        <v>4</v>
      </c>
      <c r="C146" s="273" t="s">
        <v>100</v>
      </c>
      <c r="D146" s="273" t="s">
        <v>1420</v>
      </c>
      <c r="E146" s="273" t="s">
        <v>3</v>
      </c>
      <c r="F146" s="273" t="s">
        <v>25</v>
      </c>
      <c r="G146" s="216" t="s">
        <v>36</v>
      </c>
      <c r="H146" s="216">
        <v>26000</v>
      </c>
    </row>
    <row r="147" spans="1:8" s="217" customFormat="1" ht="15.75" customHeight="1" x14ac:dyDescent="0.25">
      <c r="A147" s="267"/>
      <c r="B147" s="267"/>
      <c r="C147" s="267"/>
      <c r="D147" s="289"/>
      <c r="E147" s="267"/>
      <c r="F147" s="267"/>
    </row>
    <row r="148" spans="1:8" s="217" customFormat="1" ht="15.75" customHeight="1" x14ac:dyDescent="0.25">
      <c r="A148" s="267"/>
      <c r="B148" s="267"/>
      <c r="C148" s="267"/>
      <c r="D148" s="289"/>
      <c r="E148" s="267"/>
      <c r="F148" s="267"/>
    </row>
    <row r="149" spans="1:8" s="217" customFormat="1" ht="15.75" customHeight="1" x14ac:dyDescent="0.25">
      <c r="A149" s="267"/>
      <c r="B149" s="267"/>
      <c r="C149" s="267"/>
      <c r="D149" s="289"/>
      <c r="E149" s="267"/>
      <c r="F149" s="267"/>
    </row>
    <row r="150" spans="1:8" s="217" customFormat="1" ht="15.75" customHeight="1" x14ac:dyDescent="0.25">
      <c r="A150" s="267"/>
      <c r="B150" s="267"/>
      <c r="C150" s="267"/>
      <c r="D150" s="290"/>
      <c r="E150" s="267"/>
      <c r="F150" s="267"/>
    </row>
    <row r="151" spans="1:8" s="217" customFormat="1" ht="15.75" customHeight="1" x14ac:dyDescent="0.25">
      <c r="A151" s="267"/>
      <c r="B151" s="267"/>
      <c r="C151" s="267"/>
      <c r="D151" s="290"/>
      <c r="E151" s="267"/>
      <c r="F151" s="267"/>
    </row>
    <row r="152" spans="1:8" s="217" customFormat="1" ht="15.75" customHeight="1" x14ac:dyDescent="0.25">
      <c r="A152" s="267"/>
      <c r="B152" s="267"/>
      <c r="C152" s="267"/>
      <c r="D152" s="290"/>
      <c r="E152" s="267"/>
      <c r="F152" s="267"/>
    </row>
    <row r="153" spans="1:8" s="217" customFormat="1" ht="15.75" customHeight="1" x14ac:dyDescent="0.25">
      <c r="A153" s="267"/>
      <c r="B153" s="267"/>
      <c r="C153" s="267"/>
      <c r="D153" s="289"/>
      <c r="E153" s="267"/>
      <c r="F153" s="267"/>
    </row>
    <row r="154" spans="1:8" s="217" customFormat="1" ht="15.75" customHeight="1" x14ac:dyDescent="0.25">
      <c r="A154" s="267"/>
      <c r="B154" s="267"/>
      <c r="C154" s="267"/>
      <c r="D154" s="289"/>
      <c r="E154" s="267"/>
      <c r="F154" s="267"/>
    </row>
    <row r="155" spans="1:8" s="217" customFormat="1" ht="15.75" customHeight="1" x14ac:dyDescent="0.25">
      <c r="A155" s="267"/>
      <c r="B155" s="267"/>
      <c r="C155" s="267"/>
      <c r="D155" s="289"/>
      <c r="E155" s="267"/>
      <c r="F155" s="267"/>
    </row>
    <row r="156" spans="1:8" s="217" customFormat="1" ht="15.75" customHeight="1" x14ac:dyDescent="0.25">
      <c r="A156" s="267"/>
      <c r="B156" s="267"/>
      <c r="C156" s="267"/>
      <c r="D156" s="289"/>
      <c r="E156" s="267"/>
      <c r="F156" s="267"/>
    </row>
    <row r="157" spans="1:8" s="217" customFormat="1" ht="15.75" customHeight="1" x14ac:dyDescent="0.25">
      <c r="A157" s="267"/>
      <c r="B157" s="267"/>
      <c r="C157" s="267"/>
      <c r="D157" s="289"/>
      <c r="E157" s="267"/>
      <c r="F157" s="267"/>
    </row>
    <row r="158" spans="1:8" s="217" customFormat="1" ht="15.75" customHeight="1" x14ac:dyDescent="0.25">
      <c r="A158" s="267"/>
      <c r="B158" s="267"/>
      <c r="C158" s="267"/>
      <c r="D158" s="289"/>
      <c r="E158" s="267"/>
      <c r="F158" s="267"/>
    </row>
    <row r="159" spans="1:8" s="217" customFormat="1" ht="15.75" customHeight="1" x14ac:dyDescent="0.25">
      <c r="A159" s="273" t="s">
        <v>0</v>
      </c>
      <c r="B159" s="273" t="s">
        <v>4</v>
      </c>
      <c r="C159" s="273" t="s">
        <v>100</v>
      </c>
      <c r="D159" s="273" t="s">
        <v>1420</v>
      </c>
      <c r="E159" s="273" t="s">
        <v>3</v>
      </c>
      <c r="F159" s="273" t="s">
        <v>25</v>
      </c>
      <c r="G159" s="216" t="s">
        <v>36</v>
      </c>
      <c r="H159" s="216">
        <v>26000</v>
      </c>
    </row>
    <row r="160" spans="1:8" s="217" customFormat="1" ht="15.75" customHeight="1" x14ac:dyDescent="0.25">
      <c r="A160" s="267"/>
      <c r="B160" s="267"/>
      <c r="C160" s="267"/>
      <c r="D160" s="267"/>
      <c r="E160" s="267"/>
      <c r="F160" s="267"/>
    </row>
    <row r="161" spans="1:8" s="217" customFormat="1" ht="15.75" customHeight="1" x14ac:dyDescent="0.25">
      <c r="A161" s="267"/>
      <c r="B161" s="267"/>
      <c r="C161" s="267"/>
      <c r="D161" s="267"/>
      <c r="E161" s="267"/>
      <c r="F161" s="267"/>
    </row>
    <row r="162" spans="1:8" s="217" customFormat="1" ht="15.75" customHeight="1" x14ac:dyDescent="0.25">
      <c r="A162" s="267"/>
      <c r="B162" s="267"/>
      <c r="C162" s="267"/>
      <c r="D162" s="267"/>
      <c r="E162" s="267"/>
      <c r="F162" s="267"/>
    </row>
    <row r="163" spans="1:8" s="217" customFormat="1" ht="15.75" customHeight="1" x14ac:dyDescent="0.25">
      <c r="A163" s="267"/>
      <c r="B163" s="267"/>
      <c r="C163" s="267"/>
      <c r="D163" s="267"/>
      <c r="E163" s="267"/>
      <c r="F163" s="267"/>
    </row>
    <row r="164" spans="1:8" s="217" customFormat="1" ht="15.75" customHeight="1" x14ac:dyDescent="0.25">
      <c r="A164" s="267"/>
      <c r="B164" s="267"/>
      <c r="C164" s="267"/>
      <c r="D164" s="267"/>
      <c r="E164" s="267"/>
      <c r="F164" s="267"/>
    </row>
    <row r="165" spans="1:8" s="217" customFormat="1" ht="15.75" customHeight="1" x14ac:dyDescent="0.25">
      <c r="A165" s="267"/>
      <c r="B165" s="267"/>
      <c r="C165" s="267"/>
      <c r="D165" s="267"/>
      <c r="E165" s="267"/>
      <c r="F165" s="267"/>
    </row>
    <row r="166" spans="1:8" s="217" customFormat="1" ht="15.75" customHeight="1" x14ac:dyDescent="0.25">
      <c r="A166" s="267"/>
      <c r="B166" s="267"/>
      <c r="C166" s="267"/>
      <c r="D166" s="267"/>
      <c r="E166" s="267"/>
      <c r="F166" s="267"/>
    </row>
    <row r="167" spans="1:8" s="217" customFormat="1" ht="15.75" customHeight="1" x14ac:dyDescent="0.25">
      <c r="A167" s="267"/>
      <c r="B167" s="267"/>
      <c r="C167" s="267"/>
      <c r="D167" s="267"/>
      <c r="E167" s="267"/>
      <c r="F167" s="267"/>
    </row>
    <row r="168" spans="1:8" s="217" customFormat="1" ht="15.75" customHeight="1" x14ac:dyDescent="0.25">
      <c r="A168" s="267"/>
      <c r="B168" s="267"/>
      <c r="C168" s="267"/>
      <c r="D168" s="267"/>
      <c r="E168" s="267"/>
      <c r="F168" s="267"/>
    </row>
    <row r="169" spans="1:8" s="217" customFormat="1" ht="15.75" customHeight="1" x14ac:dyDescent="0.25">
      <c r="A169" s="267"/>
      <c r="B169" s="267"/>
      <c r="C169" s="267"/>
      <c r="D169" s="267"/>
      <c r="E169" s="267"/>
      <c r="F169" s="267"/>
    </row>
    <row r="170" spans="1:8" s="217" customFormat="1" ht="15.75" customHeight="1" x14ac:dyDescent="0.25">
      <c r="A170" s="267"/>
      <c r="B170" s="267"/>
      <c r="C170" s="267"/>
      <c r="D170" s="267"/>
      <c r="E170" s="267"/>
      <c r="F170" s="267"/>
    </row>
    <row r="171" spans="1:8" s="217" customFormat="1" ht="15.75" customHeight="1" x14ac:dyDescent="0.25">
      <c r="A171" s="267"/>
      <c r="B171" s="267"/>
      <c r="C171" s="267"/>
      <c r="D171" s="267"/>
      <c r="E171" s="267"/>
      <c r="F171" s="267"/>
    </row>
    <row r="172" spans="1:8" s="217" customFormat="1" ht="15.75" customHeight="1" x14ac:dyDescent="0.25">
      <c r="A172" s="273" t="s">
        <v>0</v>
      </c>
      <c r="B172" s="273" t="s">
        <v>4</v>
      </c>
      <c r="C172" s="273" t="s">
        <v>100</v>
      </c>
      <c r="D172" s="273" t="s">
        <v>1420</v>
      </c>
      <c r="E172" s="273" t="s">
        <v>3</v>
      </c>
      <c r="F172" s="273" t="s">
        <v>25</v>
      </c>
      <c r="G172" s="216" t="s">
        <v>36</v>
      </c>
      <c r="H172" s="216">
        <v>26000</v>
      </c>
    </row>
    <row r="173" spans="1:8" s="217" customFormat="1" ht="15.75" customHeight="1" x14ac:dyDescent="0.25">
      <c r="A173" s="267"/>
      <c r="B173" s="267"/>
      <c r="C173" s="267"/>
      <c r="D173" s="267"/>
      <c r="E173" s="267"/>
      <c r="F173" s="267"/>
    </row>
    <row r="174" spans="1:8" s="217" customFormat="1" ht="15.75" customHeight="1" x14ac:dyDescent="0.25">
      <c r="A174" s="267"/>
      <c r="B174" s="267"/>
      <c r="C174" s="267"/>
      <c r="D174" s="267"/>
      <c r="E174" s="267"/>
      <c r="F174" s="267"/>
    </row>
    <row r="175" spans="1:8" s="217" customFormat="1" ht="15.75" customHeight="1" x14ac:dyDescent="0.25">
      <c r="A175" s="267"/>
      <c r="B175" s="267"/>
      <c r="C175" s="267"/>
      <c r="D175" s="267"/>
      <c r="E175" s="267"/>
      <c r="F175" s="267"/>
    </row>
    <row r="176" spans="1:8" s="217" customFormat="1" ht="15.75" customHeight="1" x14ac:dyDescent="0.25">
      <c r="A176" s="267"/>
      <c r="B176" s="267"/>
      <c r="C176" s="267"/>
      <c r="D176" s="267"/>
      <c r="E176" s="267"/>
      <c r="F176" s="267"/>
    </row>
    <row r="177" spans="1:8" s="217" customFormat="1" ht="15.75" customHeight="1" x14ac:dyDescent="0.25">
      <c r="A177" s="267"/>
      <c r="B177" s="267"/>
      <c r="C177" s="267"/>
      <c r="D177" s="267"/>
      <c r="E177" s="267"/>
      <c r="F177" s="267"/>
    </row>
    <row r="178" spans="1:8" s="217" customFormat="1" ht="15.75" customHeight="1" x14ac:dyDescent="0.25">
      <c r="A178" s="267"/>
      <c r="B178" s="267"/>
      <c r="C178" s="267"/>
      <c r="D178" s="267"/>
      <c r="E178" s="267"/>
      <c r="F178" s="267"/>
    </row>
    <row r="179" spans="1:8" s="217" customFormat="1" ht="15.75" customHeight="1" x14ac:dyDescent="0.25">
      <c r="A179" s="267"/>
      <c r="B179" s="267"/>
      <c r="C179" s="267"/>
      <c r="D179" s="267"/>
      <c r="E179" s="267"/>
      <c r="F179" s="267"/>
    </row>
    <row r="180" spans="1:8" s="217" customFormat="1" ht="15.75" customHeight="1" x14ac:dyDescent="0.25">
      <c r="A180" s="267"/>
      <c r="B180" s="267"/>
      <c r="C180" s="267"/>
      <c r="D180" s="267"/>
      <c r="E180" s="267"/>
      <c r="F180" s="267"/>
    </row>
    <row r="181" spans="1:8" s="217" customFormat="1" ht="15.75" customHeight="1" x14ac:dyDescent="0.25">
      <c r="A181" s="267"/>
      <c r="B181" s="267"/>
      <c r="C181" s="267"/>
      <c r="D181" s="267"/>
      <c r="E181" s="267"/>
      <c r="F181" s="267"/>
    </row>
    <row r="182" spans="1:8" s="217" customFormat="1" ht="15.75" customHeight="1" x14ac:dyDescent="0.25">
      <c r="A182" s="267"/>
      <c r="B182" s="267"/>
      <c r="C182" s="267"/>
      <c r="D182" s="267"/>
      <c r="E182" s="267"/>
      <c r="F182" s="267"/>
    </row>
    <row r="183" spans="1:8" s="217" customFormat="1" ht="15.75" customHeight="1" x14ac:dyDescent="0.25">
      <c r="A183" s="267"/>
      <c r="B183" s="267"/>
      <c r="C183" s="267"/>
      <c r="D183" s="267"/>
      <c r="E183" s="267"/>
      <c r="F183" s="267"/>
    </row>
    <row r="184" spans="1:8" s="217" customFormat="1" ht="15.75" customHeight="1" x14ac:dyDescent="0.25">
      <c r="A184" s="267"/>
      <c r="B184" s="267"/>
      <c r="C184" s="267"/>
      <c r="D184" s="267"/>
      <c r="E184" s="267"/>
      <c r="F184" s="267"/>
    </row>
    <row r="185" spans="1:8" s="217" customFormat="1" ht="15.75" customHeight="1" x14ac:dyDescent="0.25">
      <c r="A185" s="273" t="s">
        <v>0</v>
      </c>
      <c r="B185" s="273" t="s">
        <v>4</v>
      </c>
      <c r="C185" s="273" t="s">
        <v>100</v>
      </c>
      <c r="D185" s="273" t="s">
        <v>1420</v>
      </c>
      <c r="E185" s="273" t="s">
        <v>3</v>
      </c>
      <c r="F185" s="273" t="s">
        <v>25</v>
      </c>
      <c r="G185" s="216" t="s">
        <v>36</v>
      </c>
      <c r="H185" s="216">
        <v>26000</v>
      </c>
    </row>
    <row r="186" spans="1:8" s="217" customFormat="1" ht="15.75" customHeight="1" x14ac:dyDescent="0.25">
      <c r="A186" s="267"/>
      <c r="B186" s="267"/>
      <c r="C186" s="267"/>
      <c r="D186" s="267"/>
      <c r="E186" s="267"/>
      <c r="F186" s="267"/>
    </row>
    <row r="187" spans="1:8" s="217" customFormat="1" ht="15.75" customHeight="1" x14ac:dyDescent="0.25">
      <c r="A187" s="267"/>
      <c r="B187" s="267"/>
      <c r="C187" s="267"/>
      <c r="D187" s="267"/>
      <c r="E187" s="267"/>
      <c r="F187" s="267"/>
    </row>
    <row r="188" spans="1:8" s="217" customFormat="1" ht="15.75" customHeight="1" x14ac:dyDescent="0.25">
      <c r="A188" s="267"/>
      <c r="B188" s="267"/>
      <c r="C188" s="267"/>
      <c r="D188" s="267"/>
      <c r="E188" s="267"/>
      <c r="F188" s="267"/>
    </row>
    <row r="189" spans="1:8" s="217" customFormat="1" ht="15.75" customHeight="1" x14ac:dyDescent="0.25">
      <c r="A189" s="267"/>
      <c r="B189" s="267"/>
      <c r="C189" s="267"/>
      <c r="D189" s="267"/>
      <c r="E189" s="267"/>
      <c r="F189" s="267"/>
    </row>
    <row r="190" spans="1:8" s="217" customFormat="1" ht="15.75" customHeight="1" x14ac:dyDescent="0.25">
      <c r="A190" s="267"/>
      <c r="B190" s="267"/>
      <c r="C190" s="267"/>
      <c r="D190" s="267"/>
      <c r="E190" s="267"/>
      <c r="F190" s="267"/>
    </row>
    <row r="191" spans="1:8" s="217" customFormat="1" ht="15.75" customHeight="1" x14ac:dyDescent="0.25">
      <c r="A191" s="267"/>
      <c r="B191" s="267"/>
      <c r="C191" s="267"/>
      <c r="D191" s="267"/>
      <c r="E191" s="267"/>
      <c r="F191" s="267"/>
    </row>
    <row r="192" spans="1:8" s="217" customFormat="1" ht="15.75" customHeight="1" x14ac:dyDescent="0.25">
      <c r="A192" s="267"/>
      <c r="B192" s="267"/>
      <c r="C192" s="267"/>
      <c r="D192" s="267"/>
      <c r="E192" s="267"/>
      <c r="F192" s="267"/>
    </row>
    <row r="193" spans="1:8" s="217" customFormat="1" ht="15.75" customHeight="1" x14ac:dyDescent="0.25">
      <c r="A193" s="267"/>
      <c r="B193" s="267"/>
      <c r="C193" s="267"/>
      <c r="D193" s="267"/>
      <c r="E193" s="267"/>
      <c r="F193" s="267"/>
    </row>
    <row r="194" spans="1:8" s="217" customFormat="1" ht="15.75" customHeight="1" x14ac:dyDescent="0.25">
      <c r="A194" s="267"/>
      <c r="B194" s="267"/>
      <c r="C194" s="267"/>
      <c r="D194" s="267"/>
      <c r="E194" s="267"/>
      <c r="F194" s="267"/>
    </row>
    <row r="195" spans="1:8" s="217" customFormat="1" ht="15.75" customHeight="1" x14ac:dyDescent="0.25">
      <c r="A195" s="267"/>
      <c r="B195" s="267"/>
      <c r="C195" s="267"/>
      <c r="D195" s="267"/>
      <c r="E195" s="267"/>
      <c r="F195" s="267"/>
    </row>
    <row r="196" spans="1:8" s="217" customFormat="1" ht="15.75" customHeight="1" x14ac:dyDescent="0.25">
      <c r="A196" s="267"/>
      <c r="B196" s="267"/>
      <c r="C196" s="267"/>
      <c r="D196" s="267"/>
      <c r="E196" s="267"/>
      <c r="F196" s="267"/>
    </row>
    <row r="197" spans="1:8" s="217" customFormat="1" ht="15.75" customHeight="1" x14ac:dyDescent="0.25">
      <c r="A197" s="267"/>
      <c r="B197" s="267"/>
      <c r="C197" s="267"/>
      <c r="D197" s="267"/>
      <c r="E197" s="267"/>
      <c r="F197" s="267"/>
    </row>
    <row r="198" spans="1:8" s="217" customFormat="1" ht="15.75" customHeight="1" x14ac:dyDescent="0.25">
      <c r="A198" s="273" t="s">
        <v>0</v>
      </c>
      <c r="B198" s="273" t="s">
        <v>4</v>
      </c>
      <c r="C198" s="273" t="s">
        <v>100</v>
      </c>
      <c r="D198" s="273" t="s">
        <v>1420</v>
      </c>
      <c r="E198" s="273" t="s">
        <v>3</v>
      </c>
      <c r="F198" s="273" t="s">
        <v>25</v>
      </c>
      <c r="G198" s="216" t="s">
        <v>36</v>
      </c>
      <c r="H198" s="216">
        <v>26000</v>
      </c>
    </row>
    <row r="199" spans="1:8" s="217" customFormat="1" ht="15.75" customHeight="1" x14ac:dyDescent="0.25">
      <c r="A199" s="267"/>
      <c r="B199" s="267"/>
      <c r="C199" s="267"/>
      <c r="D199" s="267"/>
      <c r="E199" s="267"/>
      <c r="F199" s="267"/>
    </row>
    <row r="200" spans="1:8" s="217" customFormat="1" ht="15.75" customHeight="1" x14ac:dyDescent="0.25">
      <c r="A200" s="267"/>
      <c r="B200" s="267"/>
      <c r="C200" s="267"/>
      <c r="D200" s="267"/>
      <c r="E200" s="267"/>
      <c r="F200" s="267"/>
    </row>
    <row r="201" spans="1:8" s="217" customFormat="1" ht="15.75" customHeight="1" x14ac:dyDescent="0.25">
      <c r="A201" s="267"/>
      <c r="B201" s="267"/>
      <c r="C201" s="267"/>
      <c r="D201" s="267"/>
      <c r="E201" s="267"/>
      <c r="F201" s="267"/>
    </row>
    <row r="202" spans="1:8" s="217" customFormat="1" ht="15.75" customHeight="1" x14ac:dyDescent="0.25">
      <c r="A202" s="267"/>
      <c r="B202" s="267"/>
      <c r="C202" s="267"/>
      <c r="D202" s="267"/>
      <c r="E202" s="267"/>
      <c r="F202" s="267"/>
    </row>
    <row r="203" spans="1:8" s="217" customFormat="1" ht="15.75" customHeight="1" x14ac:dyDescent="0.25">
      <c r="A203" s="267"/>
      <c r="B203" s="267"/>
      <c r="C203" s="267"/>
      <c r="D203" s="267"/>
      <c r="E203" s="267"/>
      <c r="F203" s="267"/>
    </row>
    <row r="204" spans="1:8" s="217" customFormat="1" ht="15.75" customHeight="1" x14ac:dyDescent="0.25">
      <c r="A204" s="267"/>
      <c r="B204" s="267"/>
      <c r="C204" s="267"/>
      <c r="D204" s="267"/>
      <c r="E204" s="267"/>
      <c r="F204" s="267"/>
    </row>
    <row r="205" spans="1:8" s="217" customFormat="1" ht="15.75" customHeight="1" x14ac:dyDescent="0.25">
      <c r="A205" s="267"/>
      <c r="B205" s="267"/>
      <c r="C205" s="267"/>
      <c r="D205" s="267"/>
      <c r="E205" s="267"/>
      <c r="F205" s="267"/>
    </row>
    <row r="206" spans="1:8" s="217" customFormat="1" ht="15.75" customHeight="1" x14ac:dyDescent="0.25">
      <c r="A206" s="267"/>
      <c r="B206" s="267"/>
      <c r="C206" s="267"/>
      <c r="D206" s="267"/>
      <c r="E206" s="267"/>
      <c r="F206" s="267"/>
    </row>
    <row r="207" spans="1:8" s="217" customFormat="1" ht="15.75" customHeight="1" x14ac:dyDescent="0.25">
      <c r="A207" s="267"/>
      <c r="B207" s="267"/>
      <c r="C207" s="267"/>
      <c r="D207" s="267"/>
      <c r="E207" s="267"/>
      <c r="F207" s="267"/>
    </row>
    <row r="208" spans="1:8" s="217" customFormat="1" ht="15.75" customHeight="1" x14ac:dyDescent="0.25"/>
    <row r="209" s="217" customFormat="1" ht="15.75" customHeight="1" x14ac:dyDescent="0.25"/>
    <row r="210" s="217" customFormat="1" ht="15.75" customHeight="1" x14ac:dyDescent="0.25"/>
  </sheetData>
  <mergeCells count="2">
    <mergeCell ref="G3:H3"/>
    <mergeCell ref="G12:H12"/>
  </mergeCells>
  <pageMargins left="0.95" right="0.5" top="0.4" bottom="0" header="0" footer="0"/>
  <pageSetup paperSize="9" scale="61" orientation="landscape" r:id="rId1"/>
  <headerFooter>
    <oddFooter>Prepared by ie 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210"/>
  <sheetViews>
    <sheetView zoomScale="110" zoomScaleNormal="110" zoomScaleSheetLayoutView="69" workbookViewId="0">
      <selection activeCell="A6" sqref="A6"/>
    </sheetView>
  </sheetViews>
  <sheetFormatPr defaultRowHeight="14.25" x14ac:dyDescent="0.2"/>
  <cols>
    <col min="1" max="1" width="29.42578125" style="199" customWidth="1"/>
    <col min="2" max="4" width="31.42578125" style="199" customWidth="1"/>
    <col min="5" max="5" width="30.7109375" style="199" customWidth="1"/>
    <col min="6" max="6" width="31.42578125" style="199" customWidth="1"/>
    <col min="7" max="7" width="19.7109375" style="199" customWidth="1"/>
    <col min="8" max="16384" width="9.140625" style="199"/>
  </cols>
  <sheetData>
    <row r="1" spans="1:6" s="197" customFormat="1" ht="27.75" customHeight="1" x14ac:dyDescent="0.25">
      <c r="A1" s="194" t="s">
        <v>159</v>
      </c>
      <c r="B1" s="203"/>
      <c r="C1" s="195"/>
      <c r="D1" s="195"/>
      <c r="E1" s="194"/>
      <c r="F1" s="195"/>
    </row>
    <row r="2" spans="1:6" s="197" customFormat="1" ht="9.75" customHeight="1" x14ac:dyDescent="0.25">
      <c r="A2" s="205"/>
      <c r="B2" s="198"/>
      <c r="C2" s="205"/>
      <c r="D2" s="205"/>
      <c r="E2" s="204"/>
      <c r="F2" s="205"/>
    </row>
    <row r="3" spans="1:6" s="200" customFormat="1" ht="16.5" customHeight="1" x14ac:dyDescent="0.2">
      <c r="A3" s="271" t="s">
        <v>1012</v>
      </c>
      <c r="B3" s="271" t="s">
        <v>4</v>
      </c>
      <c r="C3" s="271" t="s">
        <v>1383</v>
      </c>
      <c r="D3" s="271" t="s">
        <v>2</v>
      </c>
      <c r="E3" s="271" t="s">
        <v>3</v>
      </c>
      <c r="F3" s="271" t="s">
        <v>25</v>
      </c>
    </row>
    <row r="4" spans="1:6" s="200" customFormat="1" ht="16.5" customHeight="1" x14ac:dyDescent="0.2">
      <c r="A4" s="289" t="s">
        <v>1015</v>
      </c>
      <c r="B4" s="289" t="s">
        <v>1352</v>
      </c>
      <c r="C4" s="291" t="s">
        <v>963</v>
      </c>
      <c r="D4" s="289" t="s">
        <v>898</v>
      </c>
      <c r="E4" s="295" t="s">
        <v>850</v>
      </c>
      <c r="F4" s="289" t="s">
        <v>945</v>
      </c>
    </row>
    <row r="5" spans="1:6" s="200" customFormat="1" ht="16.5" customHeight="1" x14ac:dyDescent="0.2">
      <c r="A5" s="289" t="s">
        <v>157</v>
      </c>
      <c r="B5" s="289" t="s">
        <v>157</v>
      </c>
      <c r="C5" s="291" t="s">
        <v>73</v>
      </c>
      <c r="D5" s="289" t="s">
        <v>44</v>
      </c>
      <c r="E5" s="294" t="s">
        <v>73</v>
      </c>
      <c r="F5" s="289" t="s">
        <v>146</v>
      </c>
    </row>
    <row r="6" spans="1:6" s="200" customFormat="1" ht="16.5" customHeight="1" x14ac:dyDescent="0.2">
      <c r="A6" s="289" t="s">
        <v>1334</v>
      </c>
      <c r="B6" s="289" t="s">
        <v>1353</v>
      </c>
      <c r="C6" s="291" t="s">
        <v>1361</v>
      </c>
      <c r="D6" s="289" t="s">
        <v>899</v>
      </c>
      <c r="E6" s="289" t="s">
        <v>1293</v>
      </c>
      <c r="F6" s="289" t="s">
        <v>946</v>
      </c>
    </row>
    <row r="7" spans="1:6" s="200" customFormat="1" ht="16.5" customHeight="1" x14ac:dyDescent="0.2">
      <c r="A7" s="293" t="s">
        <v>1346</v>
      </c>
      <c r="B7" s="293" t="s">
        <v>1346</v>
      </c>
      <c r="C7" s="293" t="s">
        <v>1346</v>
      </c>
      <c r="D7" s="293" t="s">
        <v>1346</v>
      </c>
      <c r="E7" s="290" t="s">
        <v>219</v>
      </c>
      <c r="F7" s="290" t="s">
        <v>1410</v>
      </c>
    </row>
    <row r="8" spans="1:6" s="200" customFormat="1" ht="16.5" customHeight="1" x14ac:dyDescent="0.2">
      <c r="A8" s="401" t="s">
        <v>244</v>
      </c>
      <c r="B8" s="401" t="s">
        <v>1427</v>
      </c>
      <c r="C8" s="729" t="s">
        <v>1396</v>
      </c>
      <c r="D8" s="290" t="s">
        <v>1091</v>
      </c>
      <c r="E8" s="293" t="s">
        <v>1408</v>
      </c>
      <c r="F8" s="290" t="s">
        <v>1411</v>
      </c>
    </row>
    <row r="9" spans="1:6" s="200" customFormat="1" ht="16.5" customHeight="1" x14ac:dyDescent="0.2">
      <c r="A9" s="290" t="s">
        <v>1232</v>
      </c>
      <c r="B9" s="290" t="s">
        <v>149</v>
      </c>
      <c r="C9" s="293" t="s">
        <v>479</v>
      </c>
      <c r="D9" s="290" t="s">
        <v>20</v>
      </c>
      <c r="E9" s="293" t="s">
        <v>453</v>
      </c>
      <c r="F9" s="290" t="s">
        <v>49</v>
      </c>
    </row>
    <row r="10" spans="1:6" s="200" customFormat="1" ht="16.5" customHeight="1" x14ac:dyDescent="0.2">
      <c r="A10" s="289" t="s">
        <v>16</v>
      </c>
      <c r="B10" s="289" t="s">
        <v>16</v>
      </c>
      <c r="C10" s="293" t="s">
        <v>964</v>
      </c>
      <c r="D10" s="289" t="s">
        <v>16</v>
      </c>
      <c r="E10" s="294" t="s">
        <v>684</v>
      </c>
      <c r="F10" s="289" t="s">
        <v>797</v>
      </c>
    </row>
    <row r="11" spans="1:6" s="200" customFormat="1" ht="16.5" customHeight="1" x14ac:dyDescent="0.2">
      <c r="A11" s="289" t="s">
        <v>13</v>
      </c>
      <c r="B11" s="289" t="s">
        <v>923</v>
      </c>
      <c r="C11" s="293" t="s">
        <v>15</v>
      </c>
      <c r="D11" s="289" t="s">
        <v>162</v>
      </c>
      <c r="E11" s="294" t="s">
        <v>150</v>
      </c>
      <c r="F11" s="289" t="s">
        <v>150</v>
      </c>
    </row>
    <row r="12" spans="1:6" s="200" customFormat="1" ht="15" customHeight="1" x14ac:dyDescent="0.2">
      <c r="A12" s="289" t="s">
        <v>164</v>
      </c>
      <c r="B12" s="289" t="s">
        <v>164</v>
      </c>
      <c r="C12" s="293" t="s">
        <v>205</v>
      </c>
      <c r="D12" s="289" t="s">
        <v>51</v>
      </c>
      <c r="E12" s="294" t="s">
        <v>205</v>
      </c>
      <c r="F12" s="289" t="s">
        <v>164</v>
      </c>
    </row>
    <row r="13" spans="1:6" s="200" customFormat="1" ht="16.5" customHeight="1" x14ac:dyDescent="0.2">
      <c r="A13" s="289" t="s">
        <v>972</v>
      </c>
      <c r="B13" s="289" t="s">
        <v>939</v>
      </c>
      <c r="C13" s="293" t="s">
        <v>1029</v>
      </c>
      <c r="D13" s="289" t="s">
        <v>992</v>
      </c>
      <c r="E13" s="289" t="s">
        <v>992</v>
      </c>
      <c r="F13" s="289" t="s">
        <v>934</v>
      </c>
    </row>
    <row r="14" spans="1:6" s="200" customFormat="1" ht="16.5" customHeight="1" x14ac:dyDescent="0.2">
      <c r="A14" s="289" t="s">
        <v>941</v>
      </c>
      <c r="B14" s="289" t="s">
        <v>961</v>
      </c>
      <c r="C14" s="293" t="s">
        <v>1099</v>
      </c>
      <c r="D14" s="289" t="s">
        <v>995</v>
      </c>
      <c r="E14" s="295" t="s">
        <v>1497</v>
      </c>
      <c r="F14" s="289" t="s">
        <v>996</v>
      </c>
    </row>
    <row r="15" spans="1:6" s="200" customFormat="1" ht="16.5" customHeight="1" x14ac:dyDescent="0.2">
      <c r="A15" s="289" t="s">
        <v>1016</v>
      </c>
      <c r="B15" s="289" t="s">
        <v>1035</v>
      </c>
      <c r="C15" s="293" t="s">
        <v>1020</v>
      </c>
      <c r="D15" s="289" t="s">
        <v>968</v>
      </c>
      <c r="E15" s="294" t="s">
        <v>1033</v>
      </c>
      <c r="F15" s="289" t="s">
        <v>940</v>
      </c>
    </row>
    <row r="16" spans="1:6" s="200" customFormat="1" ht="16.5" customHeight="1" x14ac:dyDescent="0.2">
      <c r="A16" s="271" t="s">
        <v>0</v>
      </c>
      <c r="B16" s="271" t="s">
        <v>1413</v>
      </c>
      <c r="C16" s="271" t="s">
        <v>1412</v>
      </c>
      <c r="D16" s="271" t="s">
        <v>2</v>
      </c>
      <c r="E16" s="271" t="s">
        <v>1087</v>
      </c>
      <c r="F16" s="271" t="s">
        <v>25</v>
      </c>
    </row>
    <row r="17" spans="1:7" s="200" customFormat="1" ht="16.5" customHeight="1" x14ac:dyDescent="0.2">
      <c r="A17" s="289" t="s">
        <v>1325</v>
      </c>
      <c r="B17" s="289" t="s">
        <v>1009</v>
      </c>
      <c r="C17" s="289" t="s">
        <v>1009</v>
      </c>
      <c r="D17" s="289" t="s">
        <v>986</v>
      </c>
      <c r="E17" s="289" t="s">
        <v>1088</v>
      </c>
      <c r="F17" s="289" t="s">
        <v>957</v>
      </c>
    </row>
    <row r="18" spans="1:7" s="200" customFormat="1" ht="16.5" customHeight="1" x14ac:dyDescent="0.2">
      <c r="A18" s="289" t="s">
        <v>44</v>
      </c>
      <c r="B18" s="289" t="s">
        <v>157</v>
      </c>
      <c r="C18" s="289" t="s">
        <v>157</v>
      </c>
      <c r="D18" s="289" t="s">
        <v>44</v>
      </c>
      <c r="E18" s="289" t="s">
        <v>165</v>
      </c>
      <c r="F18" s="289" t="s">
        <v>148</v>
      </c>
    </row>
    <row r="19" spans="1:7" s="200" customFormat="1" ht="16.5" customHeight="1" x14ac:dyDescent="0.2">
      <c r="A19" s="289" t="s">
        <v>989</v>
      </c>
      <c r="B19" s="289" t="s">
        <v>1414</v>
      </c>
      <c r="C19" s="289" t="s">
        <v>1415</v>
      </c>
      <c r="D19" s="289" t="s">
        <v>987</v>
      </c>
      <c r="E19" s="289" t="s">
        <v>1405</v>
      </c>
      <c r="F19" s="289" t="s">
        <v>1173</v>
      </c>
    </row>
    <row r="20" spans="1:7" s="200" customFormat="1" ht="16.5" customHeight="1" x14ac:dyDescent="0.2">
      <c r="A20" s="290" t="s">
        <v>161</v>
      </c>
      <c r="B20" s="293" t="s">
        <v>1346</v>
      </c>
      <c r="C20" s="293" t="s">
        <v>41</v>
      </c>
      <c r="D20" s="290" t="s">
        <v>845</v>
      </c>
      <c r="E20" s="401" t="s">
        <v>41</v>
      </c>
      <c r="F20" s="290" t="s">
        <v>161</v>
      </c>
    </row>
    <row r="21" spans="1:7" s="200" customFormat="1" ht="16.5" customHeight="1" x14ac:dyDescent="0.2">
      <c r="A21" s="290" t="s">
        <v>1060</v>
      </c>
      <c r="B21" s="401" t="s">
        <v>1427</v>
      </c>
      <c r="C21" s="401" t="s">
        <v>1091</v>
      </c>
      <c r="D21" s="290" t="s">
        <v>880</v>
      </c>
      <c r="E21" s="401" t="s">
        <v>31</v>
      </c>
      <c r="F21" s="290" t="s">
        <v>163</v>
      </c>
    </row>
    <row r="22" spans="1:7" s="200" customFormat="1" x14ac:dyDescent="0.2">
      <c r="A22" s="290" t="s">
        <v>49</v>
      </c>
      <c r="B22" s="290" t="s">
        <v>233</v>
      </c>
      <c r="C22" s="290" t="s">
        <v>99</v>
      </c>
      <c r="D22" s="290" t="s">
        <v>882</v>
      </c>
      <c r="E22" s="290" t="s">
        <v>75</v>
      </c>
      <c r="F22" s="290" t="s">
        <v>49</v>
      </c>
    </row>
    <row r="23" spans="1:7" s="200" customFormat="1" ht="16.5" customHeight="1" x14ac:dyDescent="0.2">
      <c r="A23" s="289" t="s">
        <v>16</v>
      </c>
      <c r="B23" s="289" t="s">
        <v>16</v>
      </c>
      <c r="C23" s="289" t="s">
        <v>16</v>
      </c>
      <c r="D23" s="289" t="s">
        <v>16</v>
      </c>
      <c r="E23" s="289" t="s">
        <v>738</v>
      </c>
      <c r="F23" s="289" t="s">
        <v>480</v>
      </c>
    </row>
    <row r="24" spans="1:7" s="200" customFormat="1" ht="16.5" customHeight="1" x14ac:dyDescent="0.2">
      <c r="A24" s="289" t="s">
        <v>162</v>
      </c>
      <c r="B24" s="289" t="s">
        <v>923</v>
      </c>
      <c r="C24" s="289" t="s">
        <v>923</v>
      </c>
      <c r="D24" s="289" t="s">
        <v>150</v>
      </c>
      <c r="E24" s="289" t="s">
        <v>15</v>
      </c>
      <c r="F24" s="289" t="s">
        <v>13</v>
      </c>
    </row>
    <row r="25" spans="1:7" s="200" customFormat="1" ht="16.5" customHeight="1" x14ac:dyDescent="0.2">
      <c r="A25" s="289" t="s">
        <v>51</v>
      </c>
      <c r="B25" s="289" t="s">
        <v>164</v>
      </c>
      <c r="C25" s="289" t="s">
        <v>164</v>
      </c>
      <c r="D25" s="289" t="s">
        <v>51</v>
      </c>
      <c r="E25" s="289" t="s">
        <v>164</v>
      </c>
      <c r="F25" s="289" t="s">
        <v>164</v>
      </c>
    </row>
    <row r="26" spans="1:7" s="200" customFormat="1" ht="15" customHeight="1" x14ac:dyDescent="0.2">
      <c r="A26" s="289" t="s">
        <v>1407</v>
      </c>
      <c r="B26" s="289" t="s">
        <v>974</v>
      </c>
      <c r="C26" s="289" t="s">
        <v>1089</v>
      </c>
      <c r="D26" s="289" t="s">
        <v>983</v>
      </c>
      <c r="E26" s="289" t="s">
        <v>974</v>
      </c>
      <c r="F26" s="289" t="s">
        <v>1174</v>
      </c>
    </row>
    <row r="27" spans="1:7" s="200" customFormat="1" ht="16.5" customHeight="1" x14ac:dyDescent="0.2">
      <c r="A27" s="289" t="s">
        <v>1010</v>
      </c>
      <c r="B27" s="289" t="s">
        <v>1389</v>
      </c>
      <c r="C27" s="289" t="s">
        <v>1389</v>
      </c>
      <c r="D27" s="289" t="s">
        <v>941</v>
      </c>
      <c r="E27" s="289" t="s">
        <v>1479</v>
      </c>
      <c r="F27" s="289" t="s">
        <v>1061</v>
      </c>
    </row>
    <row r="28" spans="1:7" s="200" customFormat="1" ht="16.5" customHeight="1" x14ac:dyDescent="0.2">
      <c r="A28" s="289" t="s">
        <v>1384</v>
      </c>
      <c r="B28" s="289" t="s">
        <v>1351</v>
      </c>
      <c r="C28" s="289" t="s">
        <v>1351</v>
      </c>
      <c r="D28" s="289" t="s">
        <v>988</v>
      </c>
      <c r="E28" s="289" t="s">
        <v>1085</v>
      </c>
      <c r="F28" s="289" t="s">
        <v>1131</v>
      </c>
    </row>
    <row r="29" spans="1:7" s="200" customFormat="1" ht="16.5" customHeight="1" x14ac:dyDescent="0.2">
      <c r="A29" s="271" t="s">
        <v>1387</v>
      </c>
      <c r="B29" s="271" t="s">
        <v>4</v>
      </c>
      <c r="C29" s="271" t="s">
        <v>1489</v>
      </c>
      <c r="D29" s="271" t="s">
        <v>1388</v>
      </c>
      <c r="E29" s="271" t="s">
        <v>3</v>
      </c>
      <c r="F29" s="271" t="s">
        <v>25</v>
      </c>
      <c r="G29" s="691"/>
    </row>
    <row r="30" spans="1:7" s="200" customFormat="1" ht="16.5" customHeight="1" x14ac:dyDescent="0.2">
      <c r="A30" s="289" t="s">
        <v>1134</v>
      </c>
      <c r="B30" s="289" t="s">
        <v>1180</v>
      </c>
      <c r="C30" s="289" t="s">
        <v>1158</v>
      </c>
      <c r="D30" s="289" t="s">
        <v>1128</v>
      </c>
      <c r="E30" s="289" t="s">
        <v>878</v>
      </c>
      <c r="F30" s="289"/>
    </row>
    <row r="31" spans="1:7" s="200" customFormat="1" ht="16.5" customHeight="1" x14ac:dyDescent="0.2">
      <c r="A31" s="289" t="s">
        <v>148</v>
      </c>
      <c r="B31" s="289" t="s">
        <v>148</v>
      </c>
      <c r="C31" s="289" t="s">
        <v>157</v>
      </c>
      <c r="D31" s="289" t="s">
        <v>148</v>
      </c>
      <c r="E31" s="289" t="s">
        <v>165</v>
      </c>
      <c r="F31" s="289"/>
    </row>
    <row r="32" spans="1:7" s="200" customFormat="1" ht="16.5" customHeight="1" x14ac:dyDescent="0.2">
      <c r="A32" s="289" t="s">
        <v>1129</v>
      </c>
      <c r="B32" s="289" t="s">
        <v>1181</v>
      </c>
      <c r="C32" s="289" t="s">
        <v>1154</v>
      </c>
      <c r="D32" s="289" t="s">
        <v>1129</v>
      </c>
      <c r="E32" s="289" t="s">
        <v>1594</v>
      </c>
      <c r="F32" s="289" t="s">
        <v>1187</v>
      </c>
    </row>
    <row r="33" spans="1:7" s="200" customFormat="1" ht="16.5" customHeight="1" x14ac:dyDescent="0.2">
      <c r="A33" s="290" t="s">
        <v>161</v>
      </c>
      <c r="B33" s="290" t="s">
        <v>161</v>
      </c>
      <c r="C33" s="293" t="s">
        <v>41</v>
      </c>
      <c r="D33" s="290" t="s">
        <v>161</v>
      </c>
      <c r="E33" s="401" t="s">
        <v>41</v>
      </c>
      <c r="F33" s="290"/>
    </row>
    <row r="34" spans="1:7" s="200" customFormat="1" ht="16.5" customHeight="1" x14ac:dyDescent="0.2">
      <c r="A34" s="290" t="s">
        <v>1046</v>
      </c>
      <c r="B34" s="290" t="s">
        <v>1182</v>
      </c>
      <c r="C34" s="401" t="s">
        <v>163</v>
      </c>
      <c r="D34" s="290" t="s">
        <v>795</v>
      </c>
      <c r="E34" s="401" t="s">
        <v>163</v>
      </c>
      <c r="F34" s="290"/>
    </row>
    <row r="35" spans="1:7" s="200" customFormat="1" ht="16.5" customHeight="1" x14ac:dyDescent="0.2">
      <c r="A35" s="290" t="s">
        <v>99</v>
      </c>
      <c r="B35" s="290" t="s">
        <v>1183</v>
      </c>
      <c r="C35" s="290" t="s">
        <v>463</v>
      </c>
      <c r="D35" s="290" t="s">
        <v>801</v>
      </c>
      <c r="E35" s="290" t="s">
        <v>479</v>
      </c>
      <c r="F35" s="290"/>
    </row>
    <row r="36" spans="1:7" s="200" customFormat="1" ht="16.5" customHeight="1" x14ac:dyDescent="0.2">
      <c r="A36" s="289" t="s">
        <v>737</v>
      </c>
      <c r="B36" s="289" t="s">
        <v>1018</v>
      </c>
      <c r="C36" s="289" t="s">
        <v>1160</v>
      </c>
      <c r="D36" s="289" t="s">
        <v>1130</v>
      </c>
      <c r="E36" s="289" t="s">
        <v>738</v>
      </c>
      <c r="F36" s="289"/>
    </row>
    <row r="37" spans="1:7" s="200" customFormat="1" ht="16.5" customHeight="1" x14ac:dyDescent="0.2">
      <c r="A37" s="289" t="s">
        <v>150</v>
      </c>
      <c r="B37" s="289" t="s">
        <v>523</v>
      </c>
      <c r="C37" s="289" t="s">
        <v>13</v>
      </c>
      <c r="D37" s="289" t="s">
        <v>796</v>
      </c>
      <c r="E37" s="289" t="s">
        <v>13</v>
      </c>
      <c r="F37" s="289"/>
    </row>
    <row r="38" spans="1:7" s="200" customFormat="1" ht="15" customHeight="1" x14ac:dyDescent="0.2">
      <c r="A38" s="289" t="s">
        <v>203</v>
      </c>
      <c r="B38" s="289" t="s">
        <v>1184</v>
      </c>
      <c r="C38" s="289" t="s">
        <v>1161</v>
      </c>
      <c r="D38" s="289" t="s">
        <v>203</v>
      </c>
      <c r="E38" s="289" t="s">
        <v>164</v>
      </c>
      <c r="F38" s="289"/>
    </row>
    <row r="39" spans="1:7" s="200" customFormat="1" ht="16.5" customHeight="1" x14ac:dyDescent="0.2">
      <c r="A39" s="289" t="s">
        <v>1044</v>
      </c>
      <c r="B39" s="289" t="s">
        <v>1138</v>
      </c>
      <c r="C39" s="289" t="s">
        <v>1166</v>
      </c>
      <c r="D39" s="289" t="s">
        <v>1089</v>
      </c>
      <c r="E39" s="289" t="s">
        <v>1228</v>
      </c>
      <c r="F39" s="289"/>
    </row>
    <row r="40" spans="1:7" s="200" customFormat="1" ht="16.5" customHeight="1" x14ac:dyDescent="0.2">
      <c r="A40" s="289" t="s">
        <v>1042</v>
      </c>
      <c r="B40" s="289" t="s">
        <v>1186</v>
      </c>
      <c r="C40" s="289" t="s">
        <v>1168</v>
      </c>
      <c r="D40" s="289" t="s">
        <v>1042</v>
      </c>
      <c r="E40" s="289" t="s">
        <v>1577</v>
      </c>
      <c r="F40" s="289" t="s">
        <v>1186</v>
      </c>
    </row>
    <row r="41" spans="1:7" s="200" customFormat="1" ht="18" customHeight="1" x14ac:dyDescent="0.2">
      <c r="A41" s="289" t="s">
        <v>1131</v>
      </c>
      <c r="B41" s="289" t="s">
        <v>1185</v>
      </c>
      <c r="C41" s="289" t="s">
        <v>1162</v>
      </c>
      <c r="D41" s="289" t="s">
        <v>1131</v>
      </c>
      <c r="E41" s="289" t="s">
        <v>1595</v>
      </c>
      <c r="F41" s="289" t="s">
        <v>1185</v>
      </c>
    </row>
    <row r="42" spans="1:7" s="200" customFormat="1" ht="16.5" customHeight="1" x14ac:dyDescent="0.2">
      <c r="A42" s="271" t="s">
        <v>1387</v>
      </c>
      <c r="B42" s="271" t="s">
        <v>4</v>
      </c>
      <c r="C42" s="271" t="s">
        <v>1489</v>
      </c>
      <c r="D42" s="271" t="s">
        <v>1388</v>
      </c>
      <c r="E42" s="271" t="s">
        <v>3</v>
      </c>
      <c r="F42" s="271" t="s">
        <v>25</v>
      </c>
      <c r="G42" s="691"/>
    </row>
    <row r="43" spans="1:7" s="200" customFormat="1" ht="18" customHeight="1" x14ac:dyDescent="0.2">
      <c r="A43" s="289" t="s">
        <v>1135</v>
      </c>
      <c r="B43" s="289" t="s">
        <v>1242</v>
      </c>
      <c r="C43" s="289" t="s">
        <v>1588</v>
      </c>
      <c r="D43" s="289" t="s">
        <v>1132</v>
      </c>
      <c r="E43" s="289" t="s">
        <v>878</v>
      </c>
      <c r="F43" s="289" t="s">
        <v>1769</v>
      </c>
    </row>
    <row r="44" spans="1:7" s="200" customFormat="1" ht="18" customHeight="1" x14ac:dyDescent="0.2">
      <c r="A44" s="289" t="s">
        <v>148</v>
      </c>
      <c r="B44" s="289" t="s">
        <v>148</v>
      </c>
      <c r="C44" s="289" t="s">
        <v>157</v>
      </c>
      <c r="D44" s="289" t="s">
        <v>148</v>
      </c>
      <c r="E44" s="289" t="s">
        <v>165</v>
      </c>
      <c r="F44" s="289" t="s">
        <v>165</v>
      </c>
    </row>
    <row r="45" spans="1:7" s="200" customFormat="1" ht="18" customHeight="1" x14ac:dyDescent="0.2">
      <c r="A45" s="289" t="s">
        <v>1136</v>
      </c>
      <c r="B45" s="289" t="s">
        <v>1243</v>
      </c>
      <c r="C45" s="289" t="s">
        <v>1159</v>
      </c>
      <c r="D45" s="289" t="s">
        <v>1129</v>
      </c>
      <c r="E45" s="289" t="s">
        <v>1596</v>
      </c>
      <c r="F45" s="289" t="s">
        <v>971</v>
      </c>
    </row>
    <row r="46" spans="1:7" s="200" customFormat="1" ht="18" customHeight="1" x14ac:dyDescent="0.2">
      <c r="A46" s="290" t="s">
        <v>161</v>
      </c>
      <c r="B46" s="290" t="s">
        <v>161</v>
      </c>
      <c r="C46" s="293" t="s">
        <v>41</v>
      </c>
      <c r="D46" s="290" t="s">
        <v>161</v>
      </c>
      <c r="E46" s="401" t="s">
        <v>1350</v>
      </c>
      <c r="F46" s="293" t="s">
        <v>161</v>
      </c>
    </row>
    <row r="47" spans="1:7" s="200" customFormat="1" ht="18" customHeight="1" x14ac:dyDescent="0.2">
      <c r="A47" s="290" t="s">
        <v>1046</v>
      </c>
      <c r="B47" s="290" t="s">
        <v>1182</v>
      </c>
      <c r="C47" s="401" t="s">
        <v>163</v>
      </c>
      <c r="D47" s="290" t="s">
        <v>795</v>
      </c>
      <c r="E47" s="401" t="s">
        <v>848</v>
      </c>
      <c r="F47" s="290" t="s">
        <v>31</v>
      </c>
    </row>
    <row r="48" spans="1:7" s="200" customFormat="1" ht="18" customHeight="1" x14ac:dyDescent="0.2">
      <c r="A48" s="290" t="s">
        <v>99</v>
      </c>
      <c r="B48" s="290" t="s">
        <v>673</v>
      </c>
      <c r="C48" s="290" t="s">
        <v>873</v>
      </c>
      <c r="D48" s="290" t="s">
        <v>801</v>
      </c>
      <c r="E48" s="290" t="s">
        <v>479</v>
      </c>
      <c r="F48" s="290" t="s">
        <v>793</v>
      </c>
    </row>
    <row r="49" spans="1:6" s="200" customFormat="1" ht="18" customHeight="1" x14ac:dyDescent="0.2">
      <c r="A49" s="289" t="s">
        <v>737</v>
      </c>
      <c r="B49" s="289" t="s">
        <v>799</v>
      </c>
      <c r="C49" s="289" t="s">
        <v>1160</v>
      </c>
      <c r="D49" s="289" t="s">
        <v>1130</v>
      </c>
      <c r="E49" s="289" t="s">
        <v>738</v>
      </c>
      <c r="F49" s="289" t="s">
        <v>480</v>
      </c>
    </row>
    <row r="50" spans="1:6" s="200" customFormat="1" ht="18" customHeight="1" x14ac:dyDescent="0.2">
      <c r="A50" s="289" t="s">
        <v>150</v>
      </c>
      <c r="B50" s="289" t="s">
        <v>523</v>
      </c>
      <c r="C50" s="289" t="s">
        <v>13</v>
      </c>
      <c r="D50" s="289" t="s">
        <v>796</v>
      </c>
      <c r="E50" s="289" t="s">
        <v>13</v>
      </c>
      <c r="F50" s="289" t="s">
        <v>15</v>
      </c>
    </row>
    <row r="51" spans="1:6" s="200" customFormat="1" ht="18" customHeight="1" x14ac:dyDescent="0.2">
      <c r="A51" s="289" t="s">
        <v>203</v>
      </c>
      <c r="B51" s="289" t="s">
        <v>1184</v>
      </c>
      <c r="C51" s="289" t="s">
        <v>1161</v>
      </c>
      <c r="D51" s="289" t="s">
        <v>203</v>
      </c>
      <c r="E51" s="289" t="s">
        <v>164</v>
      </c>
      <c r="F51" s="289" t="s">
        <v>51</v>
      </c>
    </row>
    <row r="52" spans="1:6" s="200" customFormat="1" ht="18" customHeight="1" x14ac:dyDescent="0.2">
      <c r="A52" s="289" t="s">
        <v>1116</v>
      </c>
      <c r="B52" s="289" t="s">
        <v>1244</v>
      </c>
      <c r="C52" s="289" t="s">
        <v>1230</v>
      </c>
      <c r="D52" s="289" t="s">
        <v>1109</v>
      </c>
      <c r="E52" s="289" t="s">
        <v>1598</v>
      </c>
      <c r="F52" s="289" t="s">
        <v>1770</v>
      </c>
    </row>
    <row r="53" spans="1:6" s="200" customFormat="1" ht="18" customHeight="1" x14ac:dyDescent="0.2">
      <c r="A53" s="289" t="s">
        <v>1137</v>
      </c>
      <c r="B53" s="289" t="s">
        <v>1245</v>
      </c>
      <c r="C53" s="289" t="s">
        <v>1590</v>
      </c>
      <c r="D53" s="289" t="s">
        <v>1061</v>
      </c>
      <c r="E53" s="289" t="s">
        <v>1581</v>
      </c>
      <c r="F53" s="289" t="s">
        <v>1153</v>
      </c>
    </row>
    <row r="54" spans="1:6" s="200" customFormat="1" ht="18" customHeight="1" x14ac:dyDescent="0.2">
      <c r="A54" s="289" t="s">
        <v>1131</v>
      </c>
      <c r="B54" s="289" t="s">
        <v>1209</v>
      </c>
      <c r="C54" s="289" t="s">
        <v>1589</v>
      </c>
      <c r="D54" s="289" t="s">
        <v>1131</v>
      </c>
      <c r="E54" s="289" t="s">
        <v>1597</v>
      </c>
      <c r="F54" s="289" t="s">
        <v>1694</v>
      </c>
    </row>
    <row r="55" spans="1:6" s="200" customFormat="1" ht="16.5" customHeight="1" x14ac:dyDescent="0.2">
      <c r="A55" s="271" t="s">
        <v>1387</v>
      </c>
      <c r="B55" s="271" t="s">
        <v>4</v>
      </c>
      <c r="C55" s="271" t="s">
        <v>1</v>
      </c>
      <c r="D55" s="271" t="s">
        <v>1388</v>
      </c>
      <c r="E55" s="271" t="s">
        <v>3</v>
      </c>
      <c r="F55" s="271" t="s">
        <v>25</v>
      </c>
    </row>
    <row r="56" spans="1:6" s="200" customFormat="1" ht="18" customHeight="1" x14ac:dyDescent="0.2">
      <c r="A56" s="289" t="s">
        <v>1553</v>
      </c>
      <c r="B56" s="289" t="s">
        <v>1542</v>
      </c>
      <c r="C56" s="272"/>
      <c r="D56" s="289" t="s">
        <v>1553</v>
      </c>
      <c r="E56" s="289" t="s">
        <v>878</v>
      </c>
      <c r="F56" s="289" t="s">
        <v>1771</v>
      </c>
    </row>
    <row r="57" spans="1:6" s="200" customFormat="1" ht="18.600000000000001" customHeight="1" x14ac:dyDescent="0.2">
      <c r="A57" s="289" t="s">
        <v>148</v>
      </c>
      <c r="B57" s="289" t="s">
        <v>148</v>
      </c>
      <c r="C57" s="272"/>
      <c r="D57" s="289" t="s">
        <v>148</v>
      </c>
      <c r="E57" s="289" t="s">
        <v>165</v>
      </c>
      <c r="F57" s="289" t="s">
        <v>165</v>
      </c>
    </row>
    <row r="58" spans="1:6" s="200" customFormat="1" ht="13.5" customHeight="1" x14ac:dyDescent="0.2">
      <c r="A58" s="289" t="s">
        <v>1552</v>
      </c>
      <c r="B58" s="289" t="s">
        <v>1543</v>
      </c>
      <c r="C58" s="272"/>
      <c r="D58" s="289" t="s">
        <v>1552</v>
      </c>
      <c r="E58" s="289" t="s">
        <v>971</v>
      </c>
      <c r="F58" s="289" t="s">
        <v>971</v>
      </c>
    </row>
    <row r="59" spans="1:6" s="200" customFormat="1" ht="18.600000000000001" customHeight="1" x14ac:dyDescent="0.2">
      <c r="A59" s="290" t="s">
        <v>161</v>
      </c>
      <c r="B59" s="290" t="s">
        <v>161</v>
      </c>
      <c r="C59" s="272"/>
      <c r="D59" s="290" t="s">
        <v>161</v>
      </c>
      <c r="E59" s="401" t="s">
        <v>1350</v>
      </c>
      <c r="F59" s="293" t="s">
        <v>161</v>
      </c>
    </row>
    <row r="60" spans="1:6" s="200" customFormat="1" ht="18.600000000000001" customHeight="1" x14ac:dyDescent="0.2">
      <c r="A60" s="290" t="s">
        <v>1046</v>
      </c>
      <c r="B60" s="290" t="s">
        <v>1019</v>
      </c>
      <c r="C60" s="272"/>
      <c r="D60" s="290" t="s">
        <v>795</v>
      </c>
      <c r="E60" s="401" t="s">
        <v>848</v>
      </c>
      <c r="F60" s="290" t="s">
        <v>31</v>
      </c>
    </row>
    <row r="61" spans="1:6" s="200" customFormat="1" ht="18.600000000000001" customHeight="1" x14ac:dyDescent="0.2">
      <c r="A61" s="290" t="s">
        <v>99</v>
      </c>
      <c r="B61" s="290" t="s">
        <v>1232</v>
      </c>
      <c r="C61" s="272"/>
      <c r="D61" s="290" t="s">
        <v>801</v>
      </c>
      <c r="E61" s="290" t="s">
        <v>479</v>
      </c>
      <c r="F61" s="290" t="s">
        <v>479</v>
      </c>
    </row>
    <row r="62" spans="1:6" s="200" customFormat="1" ht="18.600000000000001" customHeight="1" x14ac:dyDescent="0.2">
      <c r="A62" s="289" t="s">
        <v>737</v>
      </c>
      <c r="B62" s="289" t="s">
        <v>1544</v>
      </c>
      <c r="C62" s="272"/>
      <c r="D62" s="289" t="s">
        <v>1130</v>
      </c>
      <c r="E62" s="289" t="s">
        <v>738</v>
      </c>
      <c r="F62" s="289" t="s">
        <v>480</v>
      </c>
    </row>
    <row r="63" spans="1:6" s="200" customFormat="1" ht="18.600000000000001" customHeight="1" x14ac:dyDescent="0.2">
      <c r="A63" s="289" t="s">
        <v>150</v>
      </c>
      <c r="B63" s="289" t="s">
        <v>14</v>
      </c>
      <c r="C63" s="272"/>
      <c r="D63" s="289" t="s">
        <v>796</v>
      </c>
      <c r="E63" s="289" t="s">
        <v>13</v>
      </c>
      <c r="F63" s="289" t="s">
        <v>15</v>
      </c>
    </row>
    <row r="64" spans="1:6" s="200" customFormat="1" ht="18.600000000000001" customHeight="1" x14ac:dyDescent="0.2">
      <c r="A64" s="289" t="s">
        <v>203</v>
      </c>
      <c r="B64" s="289" t="s">
        <v>1184</v>
      </c>
      <c r="C64" s="272"/>
      <c r="D64" s="289" t="s">
        <v>203</v>
      </c>
      <c r="E64" s="289" t="s">
        <v>164</v>
      </c>
      <c r="F64" s="289" t="s">
        <v>51</v>
      </c>
    </row>
    <row r="65" spans="1:6" s="200" customFormat="1" ht="18.600000000000001" customHeight="1" x14ac:dyDescent="0.2">
      <c r="A65" s="289" t="s">
        <v>1138</v>
      </c>
      <c r="B65" s="289" t="s">
        <v>1546</v>
      </c>
      <c r="C65" s="289"/>
      <c r="D65" s="289" t="s">
        <v>1103</v>
      </c>
      <c r="E65" s="289" t="s">
        <v>1600</v>
      </c>
      <c r="F65" s="289" t="s">
        <v>1685</v>
      </c>
    </row>
    <row r="66" spans="1:6" s="200" customFormat="1" ht="18.600000000000001" customHeight="1" x14ac:dyDescent="0.2">
      <c r="A66" s="289" t="s">
        <v>1061</v>
      </c>
      <c r="B66" s="289" t="s">
        <v>1533</v>
      </c>
      <c r="C66" s="289"/>
      <c r="D66" s="289" t="s">
        <v>1265</v>
      </c>
      <c r="E66" s="289" t="s">
        <v>1601</v>
      </c>
      <c r="F66" s="289" t="s">
        <v>1533</v>
      </c>
    </row>
    <row r="67" spans="1:6" s="200" customFormat="1" ht="18.600000000000001" customHeight="1" x14ac:dyDescent="0.2">
      <c r="A67" s="289" t="s">
        <v>1554</v>
      </c>
      <c r="B67" s="289" t="s">
        <v>1545</v>
      </c>
      <c r="C67" s="289"/>
      <c r="D67" s="289" t="s">
        <v>1554</v>
      </c>
      <c r="E67" s="289" t="s">
        <v>1599</v>
      </c>
      <c r="F67" s="289" t="s">
        <v>1694</v>
      </c>
    </row>
    <row r="68" spans="1:6" s="200" customFormat="1" ht="16.5" customHeight="1" x14ac:dyDescent="0.2">
      <c r="A68" s="271" t="s">
        <v>0</v>
      </c>
      <c r="B68" s="271" t="s">
        <v>4</v>
      </c>
      <c r="C68" s="271" t="s">
        <v>1</v>
      </c>
      <c r="D68" s="271" t="s">
        <v>1608</v>
      </c>
      <c r="E68" s="271" t="s">
        <v>3</v>
      </c>
      <c r="F68" s="271" t="s">
        <v>25</v>
      </c>
    </row>
    <row r="69" spans="1:6" s="200" customFormat="1" ht="18.75" customHeight="1" x14ac:dyDescent="0.2">
      <c r="A69" s="289" t="s">
        <v>1564</v>
      </c>
      <c r="B69" s="289" t="s">
        <v>1547</v>
      </c>
      <c r="C69" s="272"/>
      <c r="D69" s="289" t="s">
        <v>1605</v>
      </c>
      <c r="E69" s="289" t="s">
        <v>878</v>
      </c>
      <c r="F69" s="289" t="s">
        <v>1619</v>
      </c>
    </row>
    <row r="70" spans="1:6" s="200" customFormat="1" ht="18.600000000000001" customHeight="1" x14ac:dyDescent="0.2">
      <c r="A70" s="289" t="s">
        <v>148</v>
      </c>
      <c r="B70" s="289" t="s">
        <v>148</v>
      </c>
      <c r="C70" s="272"/>
      <c r="D70" s="289" t="s">
        <v>146</v>
      </c>
      <c r="E70" s="289" t="s">
        <v>165</v>
      </c>
      <c r="F70" s="289" t="s">
        <v>44</v>
      </c>
    </row>
    <row r="71" spans="1:6" s="200" customFormat="1" ht="18.600000000000001" customHeight="1" x14ac:dyDescent="0.2">
      <c r="A71" s="289" t="s">
        <v>1565</v>
      </c>
      <c r="B71" s="289" t="s">
        <v>1548</v>
      </c>
      <c r="C71" s="272"/>
      <c r="D71" s="289" t="s">
        <v>1607</v>
      </c>
      <c r="E71" s="289" t="s">
        <v>886</v>
      </c>
      <c r="F71" s="289" t="s">
        <v>1620</v>
      </c>
    </row>
    <row r="72" spans="1:6" s="200" customFormat="1" ht="18.600000000000001" customHeight="1" x14ac:dyDescent="0.2">
      <c r="A72" s="290" t="s">
        <v>161</v>
      </c>
      <c r="B72" s="290" t="s">
        <v>161</v>
      </c>
      <c r="C72" s="272"/>
      <c r="D72" s="290" t="s">
        <v>161</v>
      </c>
      <c r="E72" s="401" t="s">
        <v>1350</v>
      </c>
      <c r="F72" s="290" t="s">
        <v>161</v>
      </c>
    </row>
    <row r="73" spans="1:6" s="200" customFormat="1" ht="18.600000000000001" customHeight="1" x14ac:dyDescent="0.2">
      <c r="A73" s="290" t="s">
        <v>1046</v>
      </c>
      <c r="B73" s="290" t="s">
        <v>163</v>
      </c>
      <c r="C73" s="272"/>
      <c r="D73" s="290" t="s">
        <v>1046</v>
      </c>
      <c r="E73" s="401" t="s">
        <v>848</v>
      </c>
      <c r="F73" s="290" t="s">
        <v>1046</v>
      </c>
    </row>
    <row r="74" spans="1:6" s="200" customFormat="1" ht="18.600000000000001" customHeight="1" x14ac:dyDescent="0.2">
      <c r="A74" s="290" t="s">
        <v>99</v>
      </c>
      <c r="B74" s="290" t="s">
        <v>463</v>
      </c>
      <c r="C74" s="272"/>
      <c r="D74" s="290" t="s">
        <v>610</v>
      </c>
      <c r="E74" s="290" t="s">
        <v>479</v>
      </c>
      <c r="F74" s="290" t="s">
        <v>99</v>
      </c>
    </row>
    <row r="75" spans="1:6" s="200" customFormat="1" ht="18.600000000000001" customHeight="1" x14ac:dyDescent="0.2">
      <c r="A75" s="289" t="s">
        <v>737</v>
      </c>
      <c r="B75" s="289" t="s">
        <v>1549</v>
      </c>
      <c r="C75" s="272"/>
      <c r="D75" s="289" t="s">
        <v>480</v>
      </c>
      <c r="E75" s="289" t="s">
        <v>738</v>
      </c>
      <c r="F75" s="289" t="s">
        <v>16</v>
      </c>
    </row>
    <row r="76" spans="1:6" s="200" customFormat="1" ht="18.600000000000001" customHeight="1" x14ac:dyDescent="0.2">
      <c r="A76" s="289" t="s">
        <v>150</v>
      </c>
      <c r="B76" s="289" t="s">
        <v>13</v>
      </c>
      <c r="C76" s="272"/>
      <c r="D76" s="289" t="s">
        <v>150</v>
      </c>
      <c r="E76" s="289" t="s">
        <v>13</v>
      </c>
      <c r="F76" s="289" t="s">
        <v>150</v>
      </c>
    </row>
    <row r="77" spans="1:6" s="200" customFormat="1" ht="18.600000000000001" customHeight="1" x14ac:dyDescent="0.2">
      <c r="A77" s="289" t="s">
        <v>203</v>
      </c>
      <c r="B77" s="289" t="s">
        <v>164</v>
      </c>
      <c r="C77" s="272"/>
      <c r="D77" s="289" t="s">
        <v>164</v>
      </c>
      <c r="E77" s="289" t="s">
        <v>164</v>
      </c>
      <c r="F77" s="289" t="s">
        <v>51</v>
      </c>
    </row>
    <row r="78" spans="1:6" s="200" customFormat="1" ht="18.600000000000001" customHeight="1" x14ac:dyDescent="0.2">
      <c r="A78" s="289" t="s">
        <v>1103</v>
      </c>
      <c r="B78" s="289" t="s">
        <v>1540</v>
      </c>
      <c r="C78" s="289"/>
      <c r="D78" s="289" t="s">
        <v>1267</v>
      </c>
      <c r="E78" s="289" t="s">
        <v>1602</v>
      </c>
      <c r="F78" s="289" t="s">
        <v>1598</v>
      </c>
    </row>
    <row r="79" spans="1:6" s="200" customFormat="1" ht="18.600000000000001" customHeight="1" x14ac:dyDescent="0.2">
      <c r="A79" s="289" t="s">
        <v>1265</v>
      </c>
      <c r="B79" s="289" t="s">
        <v>1538</v>
      </c>
      <c r="C79" s="289"/>
      <c r="D79" s="289" t="s">
        <v>1533</v>
      </c>
      <c r="E79" s="289" t="s">
        <v>1604</v>
      </c>
      <c r="F79" s="289" t="s">
        <v>1520</v>
      </c>
    </row>
    <row r="80" spans="1:6" s="200" customFormat="1" ht="18.600000000000001" customHeight="1" x14ac:dyDescent="0.2">
      <c r="A80" s="289" t="s">
        <v>1554</v>
      </c>
      <c r="B80" s="289" t="s">
        <v>1550</v>
      </c>
      <c r="C80" s="289"/>
      <c r="D80" s="289" t="s">
        <v>1516</v>
      </c>
      <c r="E80" s="289" t="s">
        <v>1603</v>
      </c>
      <c r="F80" s="289" t="s">
        <v>1621</v>
      </c>
    </row>
    <row r="81" spans="1:6" s="200" customFormat="1" ht="16.5" customHeight="1" x14ac:dyDescent="0.2">
      <c r="A81" s="271" t="s">
        <v>1027</v>
      </c>
      <c r="B81" s="271" t="s">
        <v>4</v>
      </c>
      <c r="C81" s="271" t="s">
        <v>1</v>
      </c>
      <c r="D81" s="271" t="s">
        <v>2</v>
      </c>
      <c r="E81" s="271" t="s">
        <v>3</v>
      </c>
      <c r="F81" s="271" t="s">
        <v>25</v>
      </c>
    </row>
    <row r="82" spans="1:6" s="200" customFormat="1" ht="19.5" customHeight="1" x14ac:dyDescent="0.2">
      <c r="A82" s="289" t="s">
        <v>1500</v>
      </c>
      <c r="B82" s="289"/>
      <c r="C82" s="272"/>
      <c r="D82" s="289" t="s">
        <v>1606</v>
      </c>
      <c r="E82" s="289"/>
      <c r="F82" s="289" t="s">
        <v>1623</v>
      </c>
    </row>
    <row r="83" spans="1:6" s="200" customFormat="1" ht="18.600000000000001" customHeight="1" x14ac:dyDescent="0.2">
      <c r="A83" s="289" t="s">
        <v>157</v>
      </c>
      <c r="B83" s="289"/>
      <c r="C83" s="272"/>
      <c r="D83" s="289" t="s">
        <v>146</v>
      </c>
      <c r="E83" s="289"/>
      <c r="F83" s="289" t="s">
        <v>44</v>
      </c>
    </row>
    <row r="84" spans="1:6" s="200" customFormat="1" ht="18.600000000000001" customHeight="1" x14ac:dyDescent="0.2">
      <c r="A84" s="289" t="s">
        <v>1586</v>
      </c>
      <c r="B84" s="289"/>
      <c r="C84" s="272"/>
      <c r="D84" s="289" t="s">
        <v>1609</v>
      </c>
      <c r="E84" s="289"/>
      <c r="F84" s="289" t="s">
        <v>1620</v>
      </c>
    </row>
    <row r="85" spans="1:6" s="200" customFormat="1" ht="18.600000000000001" customHeight="1" x14ac:dyDescent="0.2">
      <c r="A85" s="293" t="s">
        <v>41</v>
      </c>
      <c r="B85" s="290"/>
      <c r="C85" s="272"/>
      <c r="D85" s="290" t="s">
        <v>161</v>
      </c>
      <c r="E85" s="290"/>
      <c r="F85" s="290" t="s">
        <v>161</v>
      </c>
    </row>
    <row r="86" spans="1:6" s="200" customFormat="1" ht="18.600000000000001" customHeight="1" x14ac:dyDescent="0.2">
      <c r="A86" s="401" t="s">
        <v>1151</v>
      </c>
      <c r="B86" s="290"/>
      <c r="C86" s="272"/>
      <c r="D86" s="290" t="s">
        <v>1046</v>
      </c>
      <c r="E86" s="290"/>
      <c r="F86" s="290" t="s">
        <v>1046</v>
      </c>
    </row>
    <row r="87" spans="1:6" s="200" customFormat="1" ht="18.600000000000001" customHeight="1" x14ac:dyDescent="0.2">
      <c r="A87" s="290" t="s">
        <v>99</v>
      </c>
      <c r="B87" s="290"/>
      <c r="C87" s="272"/>
      <c r="D87" s="290" t="s">
        <v>801</v>
      </c>
      <c r="E87" s="290"/>
      <c r="F87" s="290" t="s">
        <v>99</v>
      </c>
    </row>
    <row r="88" spans="1:6" s="200" customFormat="1" ht="18.600000000000001" customHeight="1" x14ac:dyDescent="0.2">
      <c r="A88" s="289" t="s">
        <v>16</v>
      </c>
      <c r="B88" s="289"/>
      <c r="C88" s="272"/>
      <c r="D88" s="289" t="s">
        <v>480</v>
      </c>
      <c r="E88" s="289"/>
      <c r="F88" s="289" t="s">
        <v>16</v>
      </c>
    </row>
    <row r="89" spans="1:6" s="200" customFormat="1" ht="18.600000000000001" customHeight="1" x14ac:dyDescent="0.2">
      <c r="A89" s="289" t="s">
        <v>1152</v>
      </c>
      <c r="B89" s="289"/>
      <c r="C89" s="272"/>
      <c r="D89" s="289" t="s">
        <v>150</v>
      </c>
      <c r="E89" s="289"/>
      <c r="F89" s="289" t="s">
        <v>150</v>
      </c>
    </row>
    <row r="90" spans="1:6" s="200" customFormat="1" ht="18.600000000000001" customHeight="1" x14ac:dyDescent="0.2">
      <c r="A90" s="289" t="s">
        <v>164</v>
      </c>
      <c r="B90" s="289"/>
      <c r="C90" s="272"/>
      <c r="D90" s="289" t="s">
        <v>164</v>
      </c>
      <c r="E90" s="289"/>
      <c r="F90" s="289" t="s">
        <v>51</v>
      </c>
    </row>
    <row r="91" spans="1:6" s="200" customFormat="1" ht="18.600000000000001" customHeight="1" x14ac:dyDescent="0.2">
      <c r="A91" s="289" t="s">
        <v>1155</v>
      </c>
      <c r="B91" s="289"/>
      <c r="C91" s="289"/>
      <c r="D91" s="289" t="s">
        <v>1540</v>
      </c>
      <c r="E91" s="289"/>
      <c r="F91" s="289" t="s">
        <v>1618</v>
      </c>
    </row>
    <row r="92" spans="1:6" s="200" customFormat="1" ht="18.600000000000001" customHeight="1" x14ac:dyDescent="0.2">
      <c r="A92" s="289" t="s">
        <v>1577</v>
      </c>
      <c r="B92" s="289"/>
      <c r="C92" s="289"/>
      <c r="D92" s="289" t="s">
        <v>1581</v>
      </c>
      <c r="E92" s="289"/>
      <c r="F92" s="289" t="s">
        <v>1538</v>
      </c>
    </row>
    <row r="93" spans="1:6" s="200" customFormat="1" ht="18.600000000000001" customHeight="1" x14ac:dyDescent="0.2">
      <c r="A93" s="289" t="s">
        <v>1499</v>
      </c>
      <c r="B93" s="289"/>
      <c r="C93" s="289"/>
      <c r="D93" s="289" t="s">
        <v>1610</v>
      </c>
      <c r="E93" s="289"/>
      <c r="F93" s="289" t="s">
        <v>1621</v>
      </c>
    </row>
    <row r="94" spans="1:6" s="200" customFormat="1" ht="16.5" customHeight="1" x14ac:dyDescent="0.2">
      <c r="A94" s="271" t="s">
        <v>1027</v>
      </c>
      <c r="B94" s="271" t="s">
        <v>4</v>
      </c>
      <c r="C94" s="271" t="s">
        <v>1</v>
      </c>
      <c r="D94" s="271" t="s">
        <v>2</v>
      </c>
      <c r="E94" s="271" t="s">
        <v>3</v>
      </c>
      <c r="F94" s="271" t="s">
        <v>25</v>
      </c>
    </row>
    <row r="95" spans="1:6" s="200" customFormat="1" x14ac:dyDescent="0.2">
      <c r="A95" s="289" t="s">
        <v>1646</v>
      </c>
      <c r="B95" s="289"/>
      <c r="C95" s="272"/>
      <c r="D95" s="272"/>
      <c r="E95" s="289"/>
      <c r="F95" s="289" t="s">
        <v>1622</v>
      </c>
    </row>
    <row r="96" spans="1:6" s="200" customFormat="1" ht="18.600000000000001" customHeight="1" x14ac:dyDescent="0.2">
      <c r="A96" s="289" t="s">
        <v>157</v>
      </c>
      <c r="B96" s="289"/>
      <c r="C96" s="272"/>
      <c r="D96" s="272"/>
      <c r="E96" s="289"/>
      <c r="F96" s="289" t="s">
        <v>44</v>
      </c>
    </row>
    <row r="97" spans="1:6" s="200" customFormat="1" ht="18.600000000000001" customHeight="1" x14ac:dyDescent="0.2">
      <c r="A97" s="289" t="s">
        <v>1647</v>
      </c>
      <c r="B97" s="289"/>
      <c r="C97" s="272"/>
      <c r="D97" s="272"/>
      <c r="E97" s="289"/>
      <c r="F97" s="289" t="s">
        <v>1624</v>
      </c>
    </row>
    <row r="98" spans="1:6" s="200" customFormat="1" ht="18.600000000000001" customHeight="1" x14ac:dyDescent="0.2">
      <c r="A98" s="293" t="s">
        <v>41</v>
      </c>
      <c r="B98" s="290"/>
      <c r="C98" s="272"/>
      <c r="D98" s="272"/>
      <c r="E98" s="290"/>
      <c r="F98" s="290" t="s">
        <v>161</v>
      </c>
    </row>
    <row r="99" spans="1:6" s="200" customFormat="1" ht="18.600000000000001" customHeight="1" x14ac:dyDescent="0.2">
      <c r="A99" s="401" t="s">
        <v>1151</v>
      </c>
      <c r="B99" s="290"/>
      <c r="C99" s="272"/>
      <c r="D99" s="272"/>
      <c r="E99" s="290"/>
      <c r="F99" s="290" t="s">
        <v>1046</v>
      </c>
    </row>
    <row r="100" spans="1:6" s="200" customFormat="1" ht="18.600000000000001" customHeight="1" x14ac:dyDescent="0.2">
      <c r="A100" s="290" t="s">
        <v>99</v>
      </c>
      <c r="B100" s="290"/>
      <c r="C100" s="272"/>
      <c r="D100" s="272"/>
      <c r="E100" s="290"/>
      <c r="F100" s="290" t="s">
        <v>99</v>
      </c>
    </row>
    <row r="101" spans="1:6" s="200" customFormat="1" ht="18.600000000000001" customHeight="1" x14ac:dyDescent="0.2">
      <c r="A101" s="289" t="s">
        <v>16</v>
      </c>
      <c r="B101" s="289"/>
      <c r="C101" s="272"/>
      <c r="D101" s="272"/>
      <c r="E101" s="289"/>
      <c r="F101" s="289" t="s">
        <v>16</v>
      </c>
    </row>
    <row r="102" spans="1:6" s="200" customFormat="1" ht="18.600000000000001" customHeight="1" x14ac:dyDescent="0.2">
      <c r="A102" s="289" t="s">
        <v>1152</v>
      </c>
      <c r="B102" s="289"/>
      <c r="C102" s="272"/>
      <c r="D102" s="272"/>
      <c r="E102" s="289"/>
      <c r="F102" s="289" t="s">
        <v>150</v>
      </c>
    </row>
    <row r="103" spans="1:6" s="200" customFormat="1" ht="18.600000000000001" customHeight="1" x14ac:dyDescent="0.2">
      <c r="A103" s="289" t="s">
        <v>164</v>
      </c>
      <c r="B103" s="289"/>
      <c r="C103" s="272"/>
      <c r="D103" s="272"/>
      <c r="E103" s="289"/>
      <c r="F103" s="289" t="s">
        <v>51</v>
      </c>
    </row>
    <row r="104" spans="1:6" s="200" customFormat="1" ht="18.600000000000001" customHeight="1" x14ac:dyDescent="0.2">
      <c r="A104" s="289" t="s">
        <v>1598</v>
      </c>
      <c r="B104" s="289"/>
      <c r="C104" s="289"/>
      <c r="D104" s="272"/>
      <c r="E104" s="289"/>
      <c r="F104" s="289" t="s">
        <v>1625</v>
      </c>
    </row>
    <row r="105" spans="1:6" s="200" customFormat="1" ht="18.600000000000001" customHeight="1" x14ac:dyDescent="0.2">
      <c r="A105" s="289" t="s">
        <v>1604</v>
      </c>
      <c r="B105" s="289"/>
      <c r="C105" s="289"/>
      <c r="D105" s="272"/>
      <c r="E105" s="289"/>
      <c r="F105" s="289" t="s">
        <v>1517</v>
      </c>
    </row>
    <row r="106" spans="1:6" s="200" customFormat="1" ht="18.600000000000001" customHeight="1" x14ac:dyDescent="0.2">
      <c r="A106" s="289" t="s">
        <v>1648</v>
      </c>
      <c r="B106" s="289"/>
      <c r="C106" s="289"/>
      <c r="D106" s="272"/>
      <c r="E106" s="289"/>
      <c r="F106" s="289" t="s">
        <v>1621</v>
      </c>
    </row>
    <row r="107" spans="1:6" s="200" customFormat="1" ht="16.5" customHeight="1" x14ac:dyDescent="0.2">
      <c r="A107" s="271" t="s">
        <v>0</v>
      </c>
      <c r="B107" s="271" t="s">
        <v>4</v>
      </c>
      <c r="C107" s="271" t="s">
        <v>1</v>
      </c>
      <c r="D107" s="271" t="s">
        <v>2</v>
      </c>
      <c r="E107" s="271" t="s">
        <v>3</v>
      </c>
      <c r="F107" s="271" t="s">
        <v>25</v>
      </c>
    </row>
    <row r="108" spans="1:6" s="200" customFormat="1" x14ac:dyDescent="0.2">
      <c r="A108" s="289"/>
      <c r="B108" s="289"/>
      <c r="C108" s="272"/>
      <c r="D108" s="272"/>
      <c r="E108" s="289"/>
      <c r="F108" s="289" t="s">
        <v>1170</v>
      </c>
    </row>
    <row r="109" spans="1:6" s="200" customFormat="1" ht="18.600000000000001" customHeight="1" x14ac:dyDescent="0.2">
      <c r="A109" s="289"/>
      <c r="B109" s="289"/>
      <c r="C109" s="272"/>
      <c r="D109" s="272"/>
      <c r="E109" s="289"/>
      <c r="F109" s="289" t="s">
        <v>44</v>
      </c>
    </row>
    <row r="110" spans="1:6" s="200" customFormat="1" ht="18.600000000000001" customHeight="1" x14ac:dyDescent="0.2">
      <c r="A110" s="289"/>
      <c r="B110" s="289"/>
      <c r="C110" s="272"/>
      <c r="D110" s="272"/>
      <c r="E110" s="289"/>
      <c r="F110" s="289" t="s">
        <v>1171</v>
      </c>
    </row>
    <row r="111" spans="1:6" s="200" customFormat="1" ht="18.600000000000001" customHeight="1" x14ac:dyDescent="0.2">
      <c r="A111" s="290"/>
      <c r="B111" s="290"/>
      <c r="C111" s="272"/>
      <c r="D111" s="272"/>
      <c r="E111" s="290"/>
      <c r="F111" s="290" t="s">
        <v>161</v>
      </c>
    </row>
    <row r="112" spans="1:6" s="200" customFormat="1" ht="18.600000000000001" customHeight="1" x14ac:dyDescent="0.2">
      <c r="A112" s="290"/>
      <c r="B112" s="290"/>
      <c r="C112" s="272"/>
      <c r="D112" s="272"/>
      <c r="E112" s="290"/>
      <c r="F112" s="290" t="s">
        <v>1046</v>
      </c>
    </row>
    <row r="113" spans="1:6" s="200" customFormat="1" ht="18.600000000000001" customHeight="1" x14ac:dyDescent="0.2">
      <c r="A113" s="290"/>
      <c r="B113" s="290"/>
      <c r="C113" s="272"/>
      <c r="D113" s="272"/>
      <c r="E113" s="290"/>
      <c r="F113" s="290" t="s">
        <v>20</v>
      </c>
    </row>
    <row r="114" spans="1:6" s="200" customFormat="1" ht="18.600000000000001" customHeight="1" x14ac:dyDescent="0.2">
      <c r="A114" s="289"/>
      <c r="B114" s="289"/>
      <c r="C114" s="272"/>
      <c r="D114" s="272"/>
      <c r="E114" s="289"/>
      <c r="F114" s="289" t="s">
        <v>16</v>
      </c>
    </row>
    <row r="115" spans="1:6" s="200" customFormat="1" ht="18.600000000000001" customHeight="1" x14ac:dyDescent="0.2">
      <c r="A115" s="289"/>
      <c r="B115" s="289"/>
      <c r="C115" s="272"/>
      <c r="D115" s="272"/>
      <c r="E115" s="289"/>
      <c r="F115" s="289" t="s">
        <v>150</v>
      </c>
    </row>
    <row r="116" spans="1:6" s="200" customFormat="1" ht="18.600000000000001" customHeight="1" x14ac:dyDescent="0.2">
      <c r="A116" s="289"/>
      <c r="B116" s="289"/>
      <c r="C116" s="272"/>
      <c r="D116" s="272"/>
      <c r="E116" s="289"/>
      <c r="F116" s="289" t="s">
        <v>51</v>
      </c>
    </row>
    <row r="117" spans="1:6" s="200" customFormat="1" ht="18.600000000000001" customHeight="1" x14ac:dyDescent="0.2">
      <c r="A117" s="289"/>
      <c r="B117" s="289"/>
      <c r="C117" s="272"/>
      <c r="D117" s="289"/>
      <c r="E117" s="289"/>
      <c r="F117" s="289" t="s">
        <v>1600</v>
      </c>
    </row>
    <row r="118" spans="1:6" s="200" customFormat="1" ht="18.600000000000001" customHeight="1" x14ac:dyDescent="0.2">
      <c r="A118" s="289"/>
      <c r="B118" s="289"/>
      <c r="C118" s="272"/>
      <c r="D118" s="289"/>
      <c r="E118" s="289"/>
      <c r="F118" s="289" t="s">
        <v>1601</v>
      </c>
    </row>
    <row r="119" spans="1:6" s="200" customFormat="1" ht="18.600000000000001" customHeight="1" x14ac:dyDescent="0.2">
      <c r="A119" s="289"/>
      <c r="B119" s="289"/>
      <c r="C119" s="272"/>
      <c r="D119" s="289"/>
      <c r="E119" s="289"/>
      <c r="F119" s="289" t="s">
        <v>1498</v>
      </c>
    </row>
    <row r="120" spans="1:6" s="200" customFormat="1" ht="16.5" customHeight="1" x14ac:dyDescent="0.2">
      <c r="A120" s="271" t="s">
        <v>0</v>
      </c>
      <c r="B120" s="271" t="s">
        <v>4</v>
      </c>
      <c r="C120" s="271" t="s">
        <v>1</v>
      </c>
      <c r="D120" s="271" t="s">
        <v>2</v>
      </c>
      <c r="E120" s="271" t="s">
        <v>3</v>
      </c>
      <c r="F120" s="271" t="s">
        <v>3</v>
      </c>
    </row>
    <row r="121" spans="1:6" s="200" customFormat="1" x14ac:dyDescent="0.2">
      <c r="A121" s="289"/>
      <c r="B121" s="289"/>
      <c r="C121" s="272"/>
      <c r="D121" s="272"/>
      <c r="E121" s="289"/>
      <c r="F121" s="272"/>
    </row>
    <row r="122" spans="1:6" s="200" customFormat="1" ht="18.600000000000001" customHeight="1" x14ac:dyDescent="0.2">
      <c r="A122" s="289"/>
      <c r="B122" s="289"/>
      <c r="C122" s="272"/>
      <c r="D122" s="272"/>
      <c r="E122" s="289"/>
      <c r="F122" s="272"/>
    </row>
    <row r="123" spans="1:6" s="200" customFormat="1" ht="18.600000000000001" customHeight="1" x14ac:dyDescent="0.2">
      <c r="A123" s="289"/>
      <c r="B123" s="289"/>
      <c r="C123" s="272"/>
      <c r="D123" s="272"/>
      <c r="E123" s="289"/>
      <c r="F123" s="272"/>
    </row>
    <row r="124" spans="1:6" s="200" customFormat="1" ht="18.600000000000001" customHeight="1" x14ac:dyDescent="0.2">
      <c r="A124" s="290"/>
      <c r="B124" s="290"/>
      <c r="C124" s="272"/>
      <c r="D124" s="272"/>
      <c r="E124" s="290"/>
      <c r="F124" s="272"/>
    </row>
    <row r="125" spans="1:6" s="200" customFormat="1" ht="18.600000000000001" customHeight="1" x14ac:dyDescent="0.2">
      <c r="A125" s="290"/>
      <c r="B125" s="290"/>
      <c r="C125" s="272"/>
      <c r="D125" s="272"/>
      <c r="E125" s="290"/>
      <c r="F125" s="272"/>
    </row>
    <row r="126" spans="1:6" s="200" customFormat="1" ht="18.600000000000001" customHeight="1" x14ac:dyDescent="0.2">
      <c r="A126" s="290"/>
      <c r="B126" s="290"/>
      <c r="C126" s="272"/>
      <c r="D126" s="272"/>
      <c r="E126" s="290"/>
      <c r="F126" s="272"/>
    </row>
    <row r="127" spans="1:6" s="200" customFormat="1" ht="18.600000000000001" customHeight="1" x14ac:dyDescent="0.2">
      <c r="A127" s="289"/>
      <c r="B127" s="289"/>
      <c r="C127" s="272"/>
      <c r="D127" s="272"/>
      <c r="E127" s="289"/>
      <c r="F127" s="272"/>
    </row>
    <row r="128" spans="1:6" s="200" customFormat="1" ht="18.600000000000001" customHeight="1" x14ac:dyDescent="0.2">
      <c r="A128" s="289"/>
      <c r="B128" s="289"/>
      <c r="C128" s="272"/>
      <c r="D128" s="272"/>
      <c r="E128" s="289"/>
      <c r="F128" s="272"/>
    </row>
    <row r="129" spans="1:6" s="200" customFormat="1" ht="18.600000000000001" customHeight="1" x14ac:dyDescent="0.2">
      <c r="A129" s="289"/>
      <c r="B129" s="289"/>
      <c r="C129" s="272"/>
      <c r="D129" s="272"/>
      <c r="E129" s="289"/>
      <c r="F129" s="272"/>
    </row>
    <row r="130" spans="1:6" s="200" customFormat="1" ht="18.600000000000001" customHeight="1" x14ac:dyDescent="0.2">
      <c r="A130" s="289"/>
      <c r="B130" s="289"/>
      <c r="C130" s="272"/>
      <c r="D130" s="289"/>
      <c r="E130" s="289"/>
      <c r="F130" s="272"/>
    </row>
    <row r="131" spans="1:6" s="200" customFormat="1" ht="18.600000000000001" customHeight="1" x14ac:dyDescent="0.2">
      <c r="A131" s="289"/>
      <c r="B131" s="289"/>
      <c r="C131" s="272"/>
      <c r="D131" s="289"/>
      <c r="E131" s="289"/>
      <c r="F131" s="272"/>
    </row>
    <row r="132" spans="1:6" s="200" customFormat="1" ht="18.600000000000001" customHeight="1" x14ac:dyDescent="0.2">
      <c r="A132" s="289"/>
      <c r="B132" s="289"/>
      <c r="C132" s="272"/>
      <c r="D132" s="289"/>
      <c r="E132" s="289"/>
      <c r="F132" s="272"/>
    </row>
    <row r="133" spans="1:6" x14ac:dyDescent="0.2">
      <c r="A133" s="271" t="s">
        <v>0</v>
      </c>
      <c r="B133" s="271" t="s">
        <v>4</v>
      </c>
      <c r="C133" s="272"/>
      <c r="D133" s="271" t="s">
        <v>2</v>
      </c>
      <c r="E133" s="271" t="s">
        <v>145</v>
      </c>
      <c r="F133" s="271" t="s">
        <v>3</v>
      </c>
    </row>
    <row r="134" spans="1:6" ht="18" customHeight="1" x14ac:dyDescent="0.2">
      <c r="A134" s="289"/>
      <c r="B134" s="289"/>
      <c r="C134" s="272"/>
      <c r="D134" s="272"/>
      <c r="E134" s="289"/>
      <c r="F134" s="272"/>
    </row>
    <row r="135" spans="1:6" ht="18" customHeight="1" x14ac:dyDescent="0.2">
      <c r="A135" s="289"/>
      <c r="B135" s="289"/>
      <c r="C135" s="272"/>
      <c r="D135" s="272"/>
      <c r="E135" s="289"/>
      <c r="F135" s="272"/>
    </row>
    <row r="136" spans="1:6" ht="18" customHeight="1" x14ac:dyDescent="0.2">
      <c r="A136" s="289"/>
      <c r="B136" s="289"/>
      <c r="C136" s="272"/>
      <c r="D136" s="272"/>
      <c r="E136" s="289"/>
      <c r="F136" s="272"/>
    </row>
    <row r="137" spans="1:6" ht="18" customHeight="1" x14ac:dyDescent="0.2">
      <c r="A137" s="290"/>
      <c r="B137" s="290"/>
      <c r="C137" s="272"/>
      <c r="D137" s="272"/>
      <c r="E137" s="290"/>
      <c r="F137" s="272"/>
    </row>
    <row r="138" spans="1:6" ht="18" customHeight="1" x14ac:dyDescent="0.2">
      <c r="A138" s="290"/>
      <c r="B138" s="290"/>
      <c r="C138" s="272"/>
      <c r="D138" s="272"/>
      <c r="E138" s="290"/>
      <c r="F138" s="272"/>
    </row>
    <row r="139" spans="1:6" ht="18" customHeight="1" x14ac:dyDescent="0.2">
      <c r="A139" s="290"/>
      <c r="B139" s="290"/>
      <c r="C139" s="272"/>
      <c r="D139" s="272"/>
      <c r="E139" s="290"/>
      <c r="F139" s="272"/>
    </row>
    <row r="140" spans="1:6" ht="18" customHeight="1" x14ac:dyDescent="0.2">
      <c r="A140" s="289"/>
      <c r="B140" s="289"/>
      <c r="C140" s="272"/>
      <c r="D140" s="272"/>
      <c r="E140" s="289"/>
      <c r="F140" s="272"/>
    </row>
    <row r="141" spans="1:6" ht="18" customHeight="1" x14ac:dyDescent="0.2">
      <c r="A141" s="289"/>
      <c r="B141" s="289"/>
      <c r="C141" s="272"/>
      <c r="D141" s="272"/>
      <c r="E141" s="289"/>
      <c r="F141" s="272"/>
    </row>
    <row r="142" spans="1:6" ht="18" customHeight="1" x14ac:dyDescent="0.2">
      <c r="A142" s="289"/>
      <c r="B142" s="289"/>
      <c r="C142" s="272"/>
      <c r="D142" s="272"/>
      <c r="E142" s="289"/>
      <c r="F142" s="272"/>
    </row>
    <row r="143" spans="1:6" ht="18" customHeight="1" x14ac:dyDescent="0.2">
      <c r="A143" s="289"/>
      <c r="B143" s="289"/>
      <c r="C143" s="272"/>
      <c r="D143" s="289"/>
      <c r="E143" s="289"/>
      <c r="F143" s="272"/>
    </row>
    <row r="144" spans="1:6" ht="18" customHeight="1" x14ac:dyDescent="0.2">
      <c r="A144" s="289"/>
      <c r="B144" s="289"/>
      <c r="C144" s="272"/>
      <c r="D144" s="289"/>
      <c r="E144" s="289"/>
      <c r="F144" s="272"/>
    </row>
    <row r="145" spans="1:6" ht="18" customHeight="1" x14ac:dyDescent="0.2">
      <c r="A145" s="289"/>
      <c r="B145" s="289"/>
      <c r="C145" s="272"/>
      <c r="D145" s="289"/>
      <c r="E145" s="289"/>
      <c r="F145" s="272"/>
    </row>
    <row r="146" spans="1:6" x14ac:dyDescent="0.2">
      <c r="A146" s="271" t="s">
        <v>0</v>
      </c>
      <c r="B146" s="271" t="s">
        <v>4</v>
      </c>
      <c r="C146" s="272"/>
      <c r="D146" s="271" t="s">
        <v>2</v>
      </c>
      <c r="E146" s="271" t="s">
        <v>3</v>
      </c>
      <c r="F146" s="271" t="s">
        <v>3</v>
      </c>
    </row>
    <row r="147" spans="1:6" ht="15.75" customHeight="1" x14ac:dyDescent="0.2">
      <c r="A147" s="289"/>
      <c r="B147" s="289"/>
      <c r="C147" s="272"/>
      <c r="D147" s="272"/>
      <c r="E147" s="289"/>
      <c r="F147" s="272"/>
    </row>
    <row r="148" spans="1:6" ht="15.75" customHeight="1" x14ac:dyDescent="0.2">
      <c r="A148" s="289"/>
      <c r="B148" s="289"/>
      <c r="C148" s="272"/>
      <c r="D148" s="272"/>
      <c r="E148" s="289"/>
      <c r="F148" s="272"/>
    </row>
    <row r="149" spans="1:6" ht="15.75" customHeight="1" x14ac:dyDescent="0.2">
      <c r="A149" s="289"/>
      <c r="B149" s="289"/>
      <c r="C149" s="272"/>
      <c r="D149" s="272"/>
      <c r="E149" s="289"/>
      <c r="F149" s="272"/>
    </row>
    <row r="150" spans="1:6" ht="15.75" customHeight="1" x14ac:dyDescent="0.2">
      <c r="A150" s="290"/>
      <c r="B150" s="290"/>
      <c r="C150" s="272"/>
      <c r="D150" s="272"/>
      <c r="E150" s="293"/>
      <c r="F150" s="272"/>
    </row>
    <row r="151" spans="1:6" ht="15.75" customHeight="1" x14ac:dyDescent="0.2">
      <c r="A151" s="290"/>
      <c r="B151" s="290"/>
      <c r="C151" s="272"/>
      <c r="D151" s="272"/>
      <c r="E151" s="401"/>
      <c r="F151" s="272"/>
    </row>
    <row r="152" spans="1:6" ht="15.75" customHeight="1" x14ac:dyDescent="0.2">
      <c r="A152" s="290"/>
      <c r="B152" s="290"/>
      <c r="C152" s="272"/>
      <c r="D152" s="272"/>
      <c r="E152" s="290"/>
      <c r="F152" s="272"/>
    </row>
    <row r="153" spans="1:6" ht="15.75" customHeight="1" x14ac:dyDescent="0.2">
      <c r="A153" s="289"/>
      <c r="B153" s="289"/>
      <c r="C153" s="272"/>
      <c r="D153" s="272"/>
      <c r="E153" s="289"/>
      <c r="F153" s="272"/>
    </row>
    <row r="154" spans="1:6" ht="15.75" customHeight="1" x14ac:dyDescent="0.2">
      <c r="A154" s="289"/>
      <c r="B154" s="289"/>
      <c r="C154" s="272"/>
      <c r="D154" s="272"/>
      <c r="E154" s="289"/>
      <c r="F154" s="272"/>
    </row>
    <row r="155" spans="1:6" ht="15.75" customHeight="1" x14ac:dyDescent="0.2">
      <c r="A155" s="289"/>
      <c r="B155" s="289"/>
      <c r="C155" s="272"/>
      <c r="D155" s="272"/>
      <c r="E155" s="289"/>
      <c r="F155" s="272"/>
    </row>
    <row r="156" spans="1:6" ht="15.75" customHeight="1" x14ac:dyDescent="0.2">
      <c r="A156" s="289"/>
      <c r="B156" s="289"/>
      <c r="C156" s="272"/>
      <c r="D156" s="289"/>
      <c r="E156" s="289"/>
      <c r="F156" s="272"/>
    </row>
    <row r="157" spans="1:6" ht="15.75" customHeight="1" x14ac:dyDescent="0.2">
      <c r="A157" s="289"/>
      <c r="B157" s="289"/>
      <c r="C157" s="272"/>
      <c r="D157" s="289"/>
      <c r="E157" s="289"/>
      <c r="F157" s="272"/>
    </row>
    <row r="158" spans="1:6" ht="15.75" customHeight="1" x14ac:dyDescent="0.2">
      <c r="A158" s="289"/>
      <c r="B158" s="289"/>
      <c r="C158" s="272"/>
      <c r="D158" s="289"/>
      <c r="E158" s="289"/>
      <c r="F158" s="272"/>
    </row>
    <row r="159" spans="1:6" x14ac:dyDescent="0.2">
      <c r="A159" s="271" t="s">
        <v>0</v>
      </c>
      <c r="B159" s="271" t="s">
        <v>4</v>
      </c>
      <c r="C159" s="272"/>
      <c r="D159" s="271" t="s">
        <v>2</v>
      </c>
      <c r="E159" s="271" t="s">
        <v>0</v>
      </c>
      <c r="F159" s="271" t="s">
        <v>3</v>
      </c>
    </row>
    <row r="160" spans="1:6" x14ac:dyDescent="0.2">
      <c r="A160" s="289"/>
      <c r="B160" s="289"/>
      <c r="C160" s="272"/>
      <c r="D160" s="272"/>
      <c r="E160" s="272"/>
      <c r="F160" s="272"/>
    </row>
    <row r="161" spans="1:6" x14ac:dyDescent="0.2">
      <c r="A161" s="289"/>
      <c r="B161" s="289"/>
      <c r="C161" s="272"/>
      <c r="D161" s="272"/>
      <c r="E161" s="272"/>
      <c r="F161" s="272"/>
    </row>
    <row r="162" spans="1:6" x14ac:dyDescent="0.2">
      <c r="A162" s="289"/>
      <c r="B162" s="289"/>
      <c r="C162" s="272"/>
      <c r="D162" s="272"/>
      <c r="E162" s="272"/>
      <c r="F162" s="272"/>
    </row>
    <row r="163" spans="1:6" x14ac:dyDescent="0.2">
      <c r="A163" s="290"/>
      <c r="B163" s="290"/>
      <c r="C163" s="272"/>
      <c r="D163" s="272"/>
      <c r="E163" s="272"/>
      <c r="F163" s="272"/>
    </row>
    <row r="164" spans="1:6" x14ac:dyDescent="0.2">
      <c r="A164" s="290"/>
      <c r="B164" s="290"/>
      <c r="C164" s="272"/>
      <c r="D164" s="272"/>
      <c r="E164" s="272"/>
      <c r="F164" s="272"/>
    </row>
    <row r="165" spans="1:6" x14ac:dyDescent="0.2">
      <c r="A165" s="290"/>
      <c r="B165" s="290"/>
      <c r="C165" s="272"/>
      <c r="D165" s="272"/>
      <c r="E165" s="272"/>
      <c r="F165" s="272"/>
    </row>
    <row r="166" spans="1:6" x14ac:dyDescent="0.2">
      <c r="A166" s="289"/>
      <c r="B166" s="289"/>
      <c r="C166" s="272"/>
      <c r="D166" s="272"/>
      <c r="E166" s="272"/>
      <c r="F166" s="272"/>
    </row>
    <row r="167" spans="1:6" x14ac:dyDescent="0.2">
      <c r="A167" s="289"/>
      <c r="B167" s="289"/>
      <c r="C167" s="272"/>
      <c r="D167" s="272"/>
      <c r="E167" s="272"/>
      <c r="F167" s="272"/>
    </row>
    <row r="168" spans="1:6" x14ac:dyDescent="0.2">
      <c r="A168" s="289"/>
      <c r="B168" s="289"/>
      <c r="C168" s="272"/>
      <c r="D168" s="272"/>
      <c r="E168" s="272"/>
      <c r="F168" s="272"/>
    </row>
    <row r="169" spans="1:6" x14ac:dyDescent="0.2">
      <c r="A169" s="289"/>
      <c r="B169" s="289"/>
      <c r="C169" s="272"/>
      <c r="D169" s="272"/>
      <c r="E169" s="272"/>
      <c r="F169" s="272"/>
    </row>
    <row r="170" spans="1:6" x14ac:dyDescent="0.2">
      <c r="A170" s="289"/>
      <c r="B170" s="289"/>
      <c r="C170" s="272"/>
      <c r="D170" s="272"/>
      <c r="E170" s="272"/>
      <c r="F170" s="272"/>
    </row>
    <row r="171" spans="1:6" x14ac:dyDescent="0.2">
      <c r="A171" s="289"/>
      <c r="B171" s="289"/>
      <c r="C171" s="272"/>
      <c r="D171" s="272"/>
      <c r="E171" s="272"/>
      <c r="F171" s="272"/>
    </row>
    <row r="172" spans="1:6" x14ac:dyDescent="0.2">
      <c r="A172" s="271" t="s">
        <v>0</v>
      </c>
      <c r="B172" s="271" t="s">
        <v>4</v>
      </c>
      <c r="C172" s="272"/>
      <c r="D172" s="272"/>
      <c r="E172" s="272"/>
      <c r="F172" s="272"/>
    </row>
    <row r="173" spans="1:6" x14ac:dyDescent="0.2">
      <c r="A173" s="272"/>
      <c r="B173" s="289"/>
      <c r="C173" s="272"/>
      <c r="D173" s="272"/>
      <c r="E173" s="272"/>
      <c r="F173" s="272"/>
    </row>
    <row r="174" spans="1:6" x14ac:dyDescent="0.2">
      <c r="A174" s="272"/>
      <c r="B174" s="289"/>
      <c r="C174" s="272"/>
      <c r="D174" s="272"/>
      <c r="E174" s="272"/>
      <c r="F174" s="272"/>
    </row>
    <row r="175" spans="1:6" x14ac:dyDescent="0.2">
      <c r="A175" s="272"/>
      <c r="B175" s="289"/>
      <c r="C175" s="272"/>
      <c r="D175" s="272"/>
      <c r="E175" s="272"/>
      <c r="F175" s="272"/>
    </row>
    <row r="176" spans="1:6" x14ac:dyDescent="0.2">
      <c r="A176" s="272"/>
      <c r="B176" s="290"/>
      <c r="C176" s="272"/>
      <c r="D176" s="272"/>
      <c r="E176" s="272"/>
      <c r="F176" s="272"/>
    </row>
    <row r="177" spans="1:6" x14ac:dyDescent="0.2">
      <c r="A177" s="272"/>
      <c r="B177" s="290"/>
      <c r="C177" s="272"/>
      <c r="D177" s="272"/>
      <c r="E177" s="272"/>
      <c r="F177" s="272"/>
    </row>
    <row r="178" spans="1:6" x14ac:dyDescent="0.2">
      <c r="A178" s="272"/>
      <c r="B178" s="290"/>
      <c r="C178" s="272"/>
      <c r="D178" s="272"/>
      <c r="E178" s="272"/>
      <c r="F178" s="272"/>
    </row>
    <row r="179" spans="1:6" x14ac:dyDescent="0.2">
      <c r="A179" s="272"/>
      <c r="B179" s="289"/>
      <c r="C179" s="272"/>
      <c r="D179" s="272"/>
      <c r="E179" s="272"/>
      <c r="F179" s="272"/>
    </row>
    <row r="180" spans="1:6" x14ac:dyDescent="0.2">
      <c r="A180" s="272"/>
      <c r="B180" s="289"/>
      <c r="C180" s="272"/>
      <c r="D180" s="272"/>
      <c r="E180" s="272"/>
      <c r="F180" s="272"/>
    </row>
    <row r="181" spans="1:6" x14ac:dyDescent="0.2">
      <c r="A181" s="272"/>
      <c r="B181" s="289"/>
      <c r="C181" s="272"/>
      <c r="D181" s="272"/>
      <c r="E181" s="272"/>
      <c r="F181" s="272"/>
    </row>
    <row r="182" spans="1:6" x14ac:dyDescent="0.2">
      <c r="A182" s="272"/>
      <c r="B182" s="289"/>
      <c r="C182" s="272"/>
      <c r="D182" s="272"/>
      <c r="E182" s="272"/>
      <c r="F182" s="272"/>
    </row>
    <row r="183" spans="1:6" x14ac:dyDescent="0.2">
      <c r="A183" s="272"/>
      <c r="B183" s="289"/>
      <c r="C183" s="272"/>
      <c r="D183" s="272"/>
      <c r="E183" s="272"/>
      <c r="F183" s="272"/>
    </row>
    <row r="184" spans="1:6" x14ac:dyDescent="0.2">
      <c r="A184" s="272"/>
      <c r="B184" s="289"/>
      <c r="C184" s="272"/>
      <c r="D184" s="272"/>
      <c r="E184" s="272"/>
      <c r="F184" s="272"/>
    </row>
    <row r="185" spans="1:6" x14ac:dyDescent="0.2">
      <c r="A185" s="272"/>
      <c r="B185" s="271" t="s">
        <v>4</v>
      </c>
      <c r="C185" s="272"/>
      <c r="D185" s="272"/>
      <c r="E185" s="272"/>
      <c r="F185" s="272"/>
    </row>
    <row r="186" spans="1:6" x14ac:dyDescent="0.2">
      <c r="A186" s="272"/>
      <c r="B186" s="289"/>
      <c r="C186" s="272"/>
      <c r="D186" s="272"/>
      <c r="E186" s="272"/>
      <c r="F186" s="272"/>
    </row>
    <row r="187" spans="1:6" x14ac:dyDescent="0.2">
      <c r="A187" s="272"/>
      <c r="B187" s="289"/>
      <c r="C187" s="272"/>
      <c r="D187" s="272"/>
      <c r="E187" s="272"/>
      <c r="F187" s="272"/>
    </row>
    <row r="188" spans="1:6" x14ac:dyDescent="0.2">
      <c r="A188" s="272"/>
      <c r="B188" s="289"/>
      <c r="C188" s="272"/>
      <c r="D188" s="272"/>
      <c r="E188" s="272"/>
      <c r="F188" s="272"/>
    </row>
    <row r="189" spans="1:6" x14ac:dyDescent="0.2">
      <c r="A189" s="272"/>
      <c r="B189" s="290"/>
      <c r="C189" s="272"/>
      <c r="D189" s="272"/>
      <c r="E189" s="272"/>
      <c r="F189" s="272"/>
    </row>
    <row r="190" spans="1:6" x14ac:dyDescent="0.2">
      <c r="A190" s="272"/>
      <c r="B190" s="290"/>
      <c r="C190" s="272"/>
      <c r="D190" s="272"/>
      <c r="E190" s="272"/>
      <c r="F190" s="272"/>
    </row>
    <row r="191" spans="1:6" x14ac:dyDescent="0.2">
      <c r="A191" s="272"/>
      <c r="B191" s="290"/>
      <c r="C191" s="272"/>
      <c r="D191" s="272"/>
      <c r="E191" s="272"/>
      <c r="F191" s="272"/>
    </row>
    <row r="192" spans="1:6" x14ac:dyDescent="0.2">
      <c r="A192" s="272"/>
      <c r="B192" s="289"/>
      <c r="C192" s="272"/>
      <c r="D192" s="272"/>
      <c r="E192" s="272"/>
      <c r="F192" s="272"/>
    </row>
    <row r="193" spans="1:6" x14ac:dyDescent="0.2">
      <c r="A193" s="272"/>
      <c r="B193" s="289"/>
      <c r="C193" s="272"/>
      <c r="D193" s="272"/>
      <c r="E193" s="272"/>
      <c r="F193" s="272"/>
    </row>
    <row r="194" spans="1:6" x14ac:dyDescent="0.2">
      <c r="A194" s="272"/>
      <c r="B194" s="289"/>
      <c r="C194" s="272"/>
      <c r="D194" s="272"/>
      <c r="E194" s="272"/>
      <c r="F194" s="272"/>
    </row>
    <row r="195" spans="1:6" x14ac:dyDescent="0.2">
      <c r="A195" s="272"/>
      <c r="B195" s="289"/>
      <c r="C195" s="272"/>
      <c r="D195" s="272"/>
      <c r="E195" s="272"/>
      <c r="F195" s="272"/>
    </row>
    <row r="196" spans="1:6" x14ac:dyDescent="0.2">
      <c r="A196" s="272"/>
      <c r="B196" s="289"/>
      <c r="C196" s="272"/>
      <c r="D196" s="272"/>
      <c r="E196" s="272"/>
      <c r="F196" s="272"/>
    </row>
    <row r="197" spans="1:6" x14ac:dyDescent="0.2">
      <c r="A197" s="272"/>
      <c r="B197" s="289"/>
      <c r="C197" s="272"/>
      <c r="D197" s="272"/>
      <c r="E197" s="272"/>
      <c r="F197" s="272"/>
    </row>
    <row r="198" spans="1:6" x14ac:dyDescent="0.2">
      <c r="B198" s="662" t="s">
        <v>4</v>
      </c>
    </row>
    <row r="199" spans="1:6" x14ac:dyDescent="0.2">
      <c r="B199" s="289"/>
    </row>
    <row r="200" spans="1:6" x14ac:dyDescent="0.2">
      <c r="B200" s="289"/>
    </row>
    <row r="201" spans="1:6" x14ac:dyDescent="0.2">
      <c r="B201" s="289"/>
    </row>
    <row r="202" spans="1:6" x14ac:dyDescent="0.2">
      <c r="B202" s="290"/>
    </row>
    <row r="203" spans="1:6" x14ac:dyDescent="0.2">
      <c r="B203" s="290"/>
    </row>
    <row r="204" spans="1:6" x14ac:dyDescent="0.2">
      <c r="B204" s="290"/>
    </row>
    <row r="205" spans="1:6" x14ac:dyDescent="0.2">
      <c r="B205" s="289"/>
    </row>
    <row r="206" spans="1:6" x14ac:dyDescent="0.2">
      <c r="B206" s="289"/>
    </row>
    <row r="207" spans="1:6" x14ac:dyDescent="0.2">
      <c r="B207" s="289"/>
    </row>
    <row r="208" spans="1:6" x14ac:dyDescent="0.2">
      <c r="B208" s="289"/>
    </row>
    <row r="209" spans="2:2" x14ac:dyDescent="0.2">
      <c r="B209" s="289"/>
    </row>
    <row r="210" spans="2:2" x14ac:dyDescent="0.2">
      <c r="B210" s="289"/>
    </row>
  </sheetData>
  <pageMargins left="0.45" right="0" top="0.4" bottom="0" header="0" footer="0"/>
  <pageSetup paperSize="9" scale="57" orientation="landscape" r:id="rId1"/>
  <headerFooter>
    <oddFooter>Prepared by ie &amp;D&amp;RPage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227"/>
  <sheetViews>
    <sheetView view="pageBreakPreview" zoomScale="106" zoomScaleNormal="100" zoomScaleSheetLayoutView="106" workbookViewId="0">
      <selection activeCell="A8" sqref="A8"/>
    </sheetView>
  </sheetViews>
  <sheetFormatPr defaultRowHeight="15" x14ac:dyDescent="0.25"/>
  <cols>
    <col min="1" max="1" width="31.28515625" style="186" customWidth="1"/>
    <col min="2" max="2" width="29.42578125" style="186" customWidth="1"/>
    <col min="3" max="3" width="29.42578125" style="187" customWidth="1"/>
    <col min="4" max="6" width="29.42578125" style="186" customWidth="1"/>
    <col min="7" max="7" width="9.140625" style="185"/>
    <col min="8" max="8" width="20" style="185" customWidth="1"/>
    <col min="9" max="16384" width="9.140625" style="185"/>
  </cols>
  <sheetData>
    <row r="1" spans="1:9" s="181" customFormat="1" ht="27.75" customHeight="1" x14ac:dyDescent="0.25">
      <c r="A1" s="178" t="s">
        <v>144</v>
      </c>
      <c r="B1" s="179"/>
      <c r="C1" s="180"/>
      <c r="D1" s="178"/>
      <c r="E1" s="179"/>
      <c r="F1" s="178"/>
    </row>
    <row r="2" spans="1:9" s="181" customFormat="1" ht="9.75" customHeight="1" x14ac:dyDescent="0.25">
      <c r="A2" s="182"/>
      <c r="B2" s="182"/>
      <c r="C2" s="184"/>
      <c r="D2" s="183"/>
      <c r="E2" s="182"/>
      <c r="F2" s="182"/>
    </row>
    <row r="3" spans="1:9" ht="16.5" customHeight="1" x14ac:dyDescent="0.25">
      <c r="A3" s="281" t="s">
        <v>1027</v>
      </c>
      <c r="B3" s="281" t="s">
        <v>4</v>
      </c>
      <c r="C3" s="281" t="s">
        <v>1</v>
      </c>
      <c r="D3" s="281" t="s">
        <v>2</v>
      </c>
      <c r="E3" s="281" t="s">
        <v>1391</v>
      </c>
      <c r="F3" s="281" t="s">
        <v>25</v>
      </c>
    </row>
    <row r="4" spans="1:9" ht="16.5" customHeight="1" x14ac:dyDescent="0.25">
      <c r="A4" s="289" t="s">
        <v>1382</v>
      </c>
      <c r="B4" s="289" t="s">
        <v>1332</v>
      </c>
      <c r="C4" s="289" t="s">
        <v>1015</v>
      </c>
      <c r="D4" s="289" t="s">
        <v>1003</v>
      </c>
      <c r="E4" s="289" t="s">
        <v>942</v>
      </c>
      <c r="F4" s="289" t="s">
        <v>1031</v>
      </c>
    </row>
    <row r="5" spans="1:9" ht="16.5" customHeight="1" x14ac:dyDescent="0.25">
      <c r="A5" s="289" t="s">
        <v>157</v>
      </c>
      <c r="B5" s="289" t="s">
        <v>44</v>
      </c>
      <c r="C5" s="289" t="s">
        <v>157</v>
      </c>
      <c r="D5" s="289" t="s">
        <v>148</v>
      </c>
      <c r="E5" s="289" t="s">
        <v>146</v>
      </c>
      <c r="F5" s="289" t="s">
        <v>157</v>
      </c>
    </row>
    <row r="6" spans="1:9" ht="16.5" customHeight="1" x14ac:dyDescent="0.25">
      <c r="A6" s="289" t="s">
        <v>1428</v>
      </c>
      <c r="B6" s="289" t="s">
        <v>1333</v>
      </c>
      <c r="C6" s="289" t="s">
        <v>1017</v>
      </c>
      <c r="D6" s="289" t="s">
        <v>1004</v>
      </c>
      <c r="E6" s="289" t="s">
        <v>1040</v>
      </c>
      <c r="F6" s="289" t="s">
        <v>1357</v>
      </c>
    </row>
    <row r="7" spans="1:9" ht="16.5" customHeight="1" x14ac:dyDescent="0.25">
      <c r="A7" s="293" t="s">
        <v>1346</v>
      </c>
      <c r="B7" s="293" t="s">
        <v>1346</v>
      </c>
      <c r="C7" s="293" t="s">
        <v>1346</v>
      </c>
      <c r="D7" s="293" t="s">
        <v>1346</v>
      </c>
      <c r="E7" s="290" t="s">
        <v>1410</v>
      </c>
      <c r="F7" s="293" t="s">
        <v>1346</v>
      </c>
      <c r="I7" s="219"/>
    </row>
    <row r="8" spans="1:9" ht="16.5" customHeight="1" x14ac:dyDescent="0.25">
      <c r="A8" s="401" t="s">
        <v>1408</v>
      </c>
      <c r="B8" s="290" t="s">
        <v>1091</v>
      </c>
      <c r="C8" s="401" t="s">
        <v>244</v>
      </c>
      <c r="D8" s="290" t="s">
        <v>1485</v>
      </c>
      <c r="E8" s="290" t="s">
        <v>1411</v>
      </c>
      <c r="F8" s="401" t="s">
        <v>244</v>
      </c>
    </row>
    <row r="9" spans="1:9" ht="16.5" customHeight="1" x14ac:dyDescent="0.25">
      <c r="A9" s="290" t="s">
        <v>19</v>
      </c>
      <c r="B9" s="290" t="s">
        <v>20</v>
      </c>
      <c r="C9" s="290" t="s">
        <v>1232</v>
      </c>
      <c r="D9" s="290" t="s">
        <v>801</v>
      </c>
      <c r="E9" s="290" t="s">
        <v>20</v>
      </c>
      <c r="F9" s="290" t="s">
        <v>1232</v>
      </c>
    </row>
    <row r="10" spans="1:9" ht="16.5" customHeight="1" x14ac:dyDescent="0.25">
      <c r="A10" s="289" t="s">
        <v>16</v>
      </c>
      <c r="B10" s="289" t="s">
        <v>16</v>
      </c>
      <c r="C10" s="289" t="s">
        <v>16</v>
      </c>
      <c r="D10" s="289" t="s">
        <v>480</v>
      </c>
      <c r="E10" s="289" t="s">
        <v>480</v>
      </c>
      <c r="F10" s="289" t="s">
        <v>16</v>
      </c>
    </row>
    <row r="11" spans="1:9" ht="16.5" customHeight="1" x14ac:dyDescent="0.25">
      <c r="A11" s="289" t="s">
        <v>150</v>
      </c>
      <c r="B11" s="289" t="s">
        <v>162</v>
      </c>
      <c r="C11" s="289" t="s">
        <v>13</v>
      </c>
      <c r="D11" s="289" t="s">
        <v>796</v>
      </c>
      <c r="E11" s="289" t="s">
        <v>150</v>
      </c>
      <c r="F11" s="289" t="s">
        <v>13</v>
      </c>
    </row>
    <row r="12" spans="1:9" ht="15" customHeight="1" x14ac:dyDescent="0.25">
      <c r="A12" s="289" t="s">
        <v>164</v>
      </c>
      <c r="B12" s="289" t="s">
        <v>51</v>
      </c>
      <c r="C12" s="289" t="s">
        <v>164</v>
      </c>
      <c r="D12" s="289" t="s">
        <v>164</v>
      </c>
      <c r="E12" s="289" t="s">
        <v>164</v>
      </c>
      <c r="F12" s="289" t="s">
        <v>203</v>
      </c>
    </row>
    <row r="13" spans="1:9" ht="16.5" customHeight="1" x14ac:dyDescent="0.25">
      <c r="A13" s="289" t="s">
        <v>1005</v>
      </c>
      <c r="B13" s="289" t="s">
        <v>1029</v>
      </c>
      <c r="C13" s="289" t="s">
        <v>1011</v>
      </c>
      <c r="D13" s="289" t="s">
        <v>939</v>
      </c>
      <c r="E13" s="289" t="s">
        <v>1025</v>
      </c>
      <c r="F13" s="289" t="s">
        <v>932</v>
      </c>
    </row>
    <row r="14" spans="1:9" ht="16.5" customHeight="1" x14ac:dyDescent="0.25">
      <c r="A14" s="289" t="s">
        <v>996</v>
      </c>
      <c r="B14" s="289" t="s">
        <v>995</v>
      </c>
      <c r="C14" s="289" t="s">
        <v>941</v>
      </c>
      <c r="D14" s="289" t="s">
        <v>947</v>
      </c>
      <c r="E14" s="289" t="s">
        <v>947</v>
      </c>
      <c r="F14" s="289" t="s">
        <v>1417</v>
      </c>
    </row>
    <row r="15" spans="1:9" ht="16.5" customHeight="1" x14ac:dyDescent="0.25">
      <c r="A15" s="289" t="s">
        <v>1035</v>
      </c>
      <c r="B15" s="289" t="s">
        <v>1390</v>
      </c>
      <c r="C15" s="289" t="s">
        <v>1016</v>
      </c>
      <c r="D15" s="289" t="s">
        <v>926</v>
      </c>
      <c r="E15" s="289" t="s">
        <v>944</v>
      </c>
      <c r="F15" s="289" t="s">
        <v>1032</v>
      </c>
    </row>
    <row r="16" spans="1:9" ht="16.5" customHeight="1" x14ac:dyDescent="0.25">
      <c r="A16" s="281" t="s">
        <v>1027</v>
      </c>
      <c r="B16" s="281" t="s">
        <v>4</v>
      </c>
      <c r="C16" s="281" t="s">
        <v>1342</v>
      </c>
      <c r="D16" s="281" t="s">
        <v>1343</v>
      </c>
      <c r="E16" s="281" t="s">
        <v>3</v>
      </c>
      <c r="F16" s="281" t="s">
        <v>25</v>
      </c>
    </row>
    <row r="17" spans="1:8" ht="16.5" customHeight="1" x14ac:dyDescent="0.25">
      <c r="A17" s="289" t="s">
        <v>1036</v>
      </c>
      <c r="B17" s="289" t="s">
        <v>1332</v>
      </c>
      <c r="C17" s="289" t="s">
        <v>741</v>
      </c>
      <c r="D17" s="289" t="s">
        <v>741</v>
      </c>
      <c r="E17" s="289" t="s">
        <v>990</v>
      </c>
      <c r="F17" s="289" t="s">
        <v>1140</v>
      </c>
    </row>
    <row r="18" spans="1:8" ht="16.5" customHeight="1" x14ac:dyDescent="0.25">
      <c r="A18" s="289" t="s">
        <v>157</v>
      </c>
      <c r="B18" s="289" t="s">
        <v>44</v>
      </c>
      <c r="C18" s="289" t="s">
        <v>165</v>
      </c>
      <c r="D18" s="289" t="s">
        <v>165</v>
      </c>
      <c r="E18" s="289" t="s">
        <v>44</v>
      </c>
      <c r="F18" s="289" t="s">
        <v>148</v>
      </c>
    </row>
    <row r="19" spans="1:8" ht="16.5" customHeight="1" x14ac:dyDescent="0.25">
      <c r="A19" s="289" t="s">
        <v>1058</v>
      </c>
      <c r="B19" s="289" t="s">
        <v>1358</v>
      </c>
      <c r="C19" s="289" t="s">
        <v>1096</v>
      </c>
      <c r="D19" s="289" t="s">
        <v>1096</v>
      </c>
      <c r="E19" s="289" t="s">
        <v>991</v>
      </c>
      <c r="F19" s="289" t="s">
        <v>896</v>
      </c>
    </row>
    <row r="20" spans="1:8" ht="16.5" customHeight="1" x14ac:dyDescent="0.25">
      <c r="A20" s="293" t="s">
        <v>1346</v>
      </c>
      <c r="B20" s="290" t="s">
        <v>845</v>
      </c>
      <c r="C20" s="293" t="s">
        <v>161</v>
      </c>
      <c r="D20" s="730" t="s">
        <v>161</v>
      </c>
      <c r="E20" s="290" t="s">
        <v>161</v>
      </c>
      <c r="F20" s="290" t="s">
        <v>161</v>
      </c>
    </row>
    <row r="21" spans="1:8" ht="16.5" customHeight="1" x14ac:dyDescent="0.25">
      <c r="A21" s="401" t="s">
        <v>1408</v>
      </c>
      <c r="B21" s="290" t="s">
        <v>795</v>
      </c>
      <c r="C21" s="290" t="s">
        <v>163</v>
      </c>
      <c r="D21" s="290" t="s">
        <v>163</v>
      </c>
      <c r="E21" s="290" t="s">
        <v>1060</v>
      </c>
      <c r="F21" s="290" t="s">
        <v>795</v>
      </c>
    </row>
    <row r="22" spans="1:8" ht="16.5" customHeight="1" x14ac:dyDescent="0.25">
      <c r="A22" s="290" t="s">
        <v>19</v>
      </c>
      <c r="B22" s="290" t="s">
        <v>20</v>
      </c>
      <c r="C22" s="290" t="s">
        <v>479</v>
      </c>
      <c r="D22" s="290" t="s">
        <v>479</v>
      </c>
      <c r="E22" s="290" t="s">
        <v>20</v>
      </c>
      <c r="F22" s="290" t="s">
        <v>801</v>
      </c>
    </row>
    <row r="23" spans="1:8" ht="16.5" customHeight="1" x14ac:dyDescent="0.25">
      <c r="A23" s="289" t="s">
        <v>16</v>
      </c>
      <c r="B23" s="289" t="s">
        <v>16</v>
      </c>
      <c r="C23" s="289" t="s">
        <v>508</v>
      </c>
      <c r="D23" s="289" t="s">
        <v>508</v>
      </c>
      <c r="E23" s="289" t="s">
        <v>16</v>
      </c>
      <c r="F23" s="289" t="s">
        <v>1130</v>
      </c>
    </row>
    <row r="24" spans="1:8" ht="16.5" customHeight="1" x14ac:dyDescent="0.25">
      <c r="A24" s="289" t="s">
        <v>150</v>
      </c>
      <c r="B24" s="289" t="s">
        <v>15</v>
      </c>
      <c r="C24" s="289" t="s">
        <v>13</v>
      </c>
      <c r="D24" s="289" t="s">
        <v>13</v>
      </c>
      <c r="E24" s="289" t="s">
        <v>162</v>
      </c>
      <c r="F24" s="289" t="s">
        <v>796</v>
      </c>
    </row>
    <row r="25" spans="1:8" ht="16.5" customHeight="1" x14ac:dyDescent="0.25">
      <c r="A25" s="289" t="s">
        <v>164</v>
      </c>
      <c r="B25" s="289" t="s">
        <v>51</v>
      </c>
      <c r="C25" s="289" t="s">
        <v>203</v>
      </c>
      <c r="D25" s="289" t="s">
        <v>203</v>
      </c>
      <c r="E25" s="289" t="s">
        <v>51</v>
      </c>
      <c r="F25" s="289" t="s">
        <v>203</v>
      </c>
      <c r="H25" s="241"/>
    </row>
    <row r="26" spans="1:8" ht="15" customHeight="1" x14ac:dyDescent="0.25">
      <c r="A26" s="289" t="s">
        <v>1174</v>
      </c>
      <c r="B26" s="289" t="s">
        <v>983</v>
      </c>
      <c r="C26" s="289" t="s">
        <v>1089</v>
      </c>
      <c r="D26" s="289" t="s">
        <v>1044</v>
      </c>
      <c r="E26" s="289" t="s">
        <v>1044</v>
      </c>
      <c r="F26" s="289" t="s">
        <v>1089</v>
      </c>
      <c r="H26" s="241"/>
    </row>
    <row r="27" spans="1:8" ht="16.5" customHeight="1" x14ac:dyDescent="0.25">
      <c r="A27" s="289" t="s">
        <v>1047</v>
      </c>
      <c r="B27" s="289" t="s">
        <v>943</v>
      </c>
      <c r="C27" s="289" t="s">
        <v>1486</v>
      </c>
      <c r="D27" s="289" t="s">
        <v>1097</v>
      </c>
      <c r="E27" s="289" t="s">
        <v>1042</v>
      </c>
      <c r="F27" s="289" t="s">
        <v>1010</v>
      </c>
      <c r="H27" s="241"/>
    </row>
    <row r="28" spans="1:8" ht="16.5" customHeight="1" x14ac:dyDescent="0.25">
      <c r="A28" s="289" t="s">
        <v>1062</v>
      </c>
      <c r="B28" s="289" t="s">
        <v>1390</v>
      </c>
      <c r="C28" s="289" t="s">
        <v>1095</v>
      </c>
      <c r="D28" s="289" t="s">
        <v>1095</v>
      </c>
      <c r="E28" s="731" t="s">
        <v>1384</v>
      </c>
      <c r="F28" s="289" t="s">
        <v>1131</v>
      </c>
      <c r="H28" s="241"/>
    </row>
    <row r="29" spans="1:8" ht="16.5" customHeight="1" x14ac:dyDescent="0.25">
      <c r="A29" s="281" t="s">
        <v>1027</v>
      </c>
      <c r="B29" s="281" t="s">
        <v>4</v>
      </c>
      <c r="C29" s="281" t="s">
        <v>1632</v>
      </c>
      <c r="D29" s="281" t="s">
        <v>1388</v>
      </c>
      <c r="E29" s="281" t="s">
        <v>1360</v>
      </c>
      <c r="F29" s="281" t="s">
        <v>25</v>
      </c>
      <c r="H29" s="491"/>
    </row>
    <row r="30" spans="1:8" ht="16.5" customHeight="1" x14ac:dyDescent="0.25">
      <c r="A30" s="289" t="s">
        <v>1492</v>
      </c>
      <c r="B30" s="289" t="s">
        <v>897</v>
      </c>
      <c r="C30" s="289" t="s">
        <v>1628</v>
      </c>
      <c r="D30" s="289" t="s">
        <v>1500</v>
      </c>
      <c r="E30" s="295" t="s">
        <v>1188</v>
      </c>
      <c r="F30" s="289" t="s">
        <v>1141</v>
      </c>
      <c r="H30" s="241"/>
    </row>
    <row r="31" spans="1:8" ht="16.5" customHeight="1" x14ac:dyDescent="0.25">
      <c r="A31" s="289" t="s">
        <v>148</v>
      </c>
      <c r="B31" s="289" t="s">
        <v>44</v>
      </c>
      <c r="C31" s="289" t="s">
        <v>165</v>
      </c>
      <c r="D31" s="289" t="s">
        <v>157</v>
      </c>
      <c r="E31" s="294" t="s">
        <v>73</v>
      </c>
      <c r="F31" s="289" t="s">
        <v>148</v>
      </c>
      <c r="H31" s="241"/>
    </row>
    <row r="32" spans="1:8" ht="16.5" customHeight="1" x14ac:dyDescent="0.25">
      <c r="A32" s="289" t="s">
        <v>1493</v>
      </c>
      <c r="B32" s="289" t="s">
        <v>925</v>
      </c>
      <c r="C32" s="289" t="s">
        <v>1631</v>
      </c>
      <c r="D32" s="289" t="s">
        <v>1626</v>
      </c>
      <c r="E32" s="289" t="s">
        <v>1192</v>
      </c>
      <c r="F32" s="289" t="s">
        <v>1142</v>
      </c>
      <c r="H32" s="241"/>
    </row>
    <row r="33" spans="1:8" ht="16.5" customHeight="1" x14ac:dyDescent="0.25">
      <c r="A33" s="293" t="s">
        <v>1346</v>
      </c>
      <c r="B33" s="290" t="s">
        <v>161</v>
      </c>
      <c r="C33" s="293" t="s">
        <v>161</v>
      </c>
      <c r="D33" s="293" t="s">
        <v>41</v>
      </c>
      <c r="E33" s="293" t="s">
        <v>41</v>
      </c>
      <c r="F33" s="290" t="s">
        <v>161</v>
      </c>
      <c r="H33" s="241"/>
    </row>
    <row r="34" spans="1:8" ht="16.5" customHeight="1" x14ac:dyDescent="0.25">
      <c r="A34" s="290" t="s">
        <v>31</v>
      </c>
      <c r="B34" s="290" t="s">
        <v>1046</v>
      </c>
      <c r="C34" s="290" t="s">
        <v>1182</v>
      </c>
      <c r="D34" s="401" t="s">
        <v>1151</v>
      </c>
      <c r="E34" s="293" t="s">
        <v>1060</v>
      </c>
      <c r="F34" s="290" t="s">
        <v>795</v>
      </c>
      <c r="H34" s="241"/>
    </row>
    <row r="35" spans="1:8" ht="16.5" customHeight="1" x14ac:dyDescent="0.25">
      <c r="A35" s="290" t="s">
        <v>49</v>
      </c>
      <c r="B35" s="290" t="s">
        <v>19</v>
      </c>
      <c r="C35" s="290" t="s">
        <v>1629</v>
      </c>
      <c r="D35" s="290" t="s">
        <v>99</v>
      </c>
      <c r="E35" s="293" t="s">
        <v>233</v>
      </c>
      <c r="F35" s="290" t="s">
        <v>801</v>
      </c>
      <c r="H35" s="241"/>
    </row>
    <row r="36" spans="1:8" ht="16.5" customHeight="1" x14ac:dyDescent="0.25">
      <c r="A36" s="289" t="s">
        <v>480</v>
      </c>
      <c r="B36" s="289" t="s">
        <v>16</v>
      </c>
      <c r="C36" s="289" t="s">
        <v>1630</v>
      </c>
      <c r="D36" s="289" t="s">
        <v>16</v>
      </c>
      <c r="E36" s="294" t="s">
        <v>1190</v>
      </c>
      <c r="F36" s="289" t="s">
        <v>1130</v>
      </c>
      <c r="H36" s="241"/>
    </row>
    <row r="37" spans="1:8" ht="16.5" customHeight="1" x14ac:dyDescent="0.25">
      <c r="A37" s="289" t="s">
        <v>15</v>
      </c>
      <c r="B37" s="289" t="s">
        <v>150</v>
      </c>
      <c r="C37" s="289" t="s">
        <v>523</v>
      </c>
      <c r="D37" s="289" t="s">
        <v>1152</v>
      </c>
      <c r="E37" s="294" t="s">
        <v>162</v>
      </c>
      <c r="F37" s="289" t="s">
        <v>796</v>
      </c>
      <c r="H37" s="241"/>
    </row>
    <row r="38" spans="1:8" ht="16.5" customHeight="1" x14ac:dyDescent="0.25">
      <c r="A38" s="289" t="s">
        <v>164</v>
      </c>
      <c r="B38" s="289" t="s">
        <v>51</v>
      </c>
      <c r="C38" s="289" t="s">
        <v>203</v>
      </c>
      <c r="D38" s="289" t="s">
        <v>164</v>
      </c>
      <c r="E38" s="294" t="s">
        <v>205</v>
      </c>
      <c r="F38" s="289" t="s">
        <v>203</v>
      </c>
      <c r="H38" s="241"/>
    </row>
    <row r="39" spans="1:8" ht="15" customHeight="1" x14ac:dyDescent="0.25">
      <c r="A39" s="289" t="s">
        <v>1103</v>
      </c>
      <c r="B39" s="289" t="s">
        <v>974</v>
      </c>
      <c r="C39" s="289" t="s">
        <v>1223</v>
      </c>
      <c r="D39" s="289" t="s">
        <v>1155</v>
      </c>
      <c r="E39" s="289" t="s">
        <v>1109</v>
      </c>
      <c r="F39" s="289" t="s">
        <v>1044</v>
      </c>
      <c r="H39" s="241"/>
    </row>
    <row r="40" spans="1:8" ht="16.5" customHeight="1" x14ac:dyDescent="0.25">
      <c r="A40" s="289" t="s">
        <v>1207</v>
      </c>
      <c r="B40" s="289" t="s">
        <v>1122</v>
      </c>
      <c r="C40" s="289" t="s">
        <v>1533</v>
      </c>
      <c r="D40" s="289" t="s">
        <v>1577</v>
      </c>
      <c r="E40" s="295" t="s">
        <v>1300</v>
      </c>
      <c r="F40" s="289" t="s">
        <v>1014</v>
      </c>
      <c r="H40" s="241"/>
    </row>
    <row r="41" spans="1:8" ht="16.5" customHeight="1" x14ac:dyDescent="0.25">
      <c r="A41" s="289" t="s">
        <v>1494</v>
      </c>
      <c r="B41" s="731" t="s">
        <v>988</v>
      </c>
      <c r="C41" s="289" t="s">
        <v>1593</v>
      </c>
      <c r="D41" s="289" t="s">
        <v>1499</v>
      </c>
      <c r="E41" s="294" t="s">
        <v>1189</v>
      </c>
      <c r="F41" s="289" t="s">
        <v>1131</v>
      </c>
      <c r="H41" s="241"/>
    </row>
    <row r="42" spans="1:8" s="241" customFormat="1" ht="16.5" customHeight="1" x14ac:dyDescent="0.25">
      <c r="A42" s="281" t="s">
        <v>1027</v>
      </c>
      <c r="B42" s="281" t="s">
        <v>4</v>
      </c>
      <c r="C42" s="281" t="s">
        <v>1</v>
      </c>
      <c r="D42" s="281" t="s">
        <v>2</v>
      </c>
      <c r="E42" s="281" t="s">
        <v>3</v>
      </c>
      <c r="F42" s="281" t="s">
        <v>25</v>
      </c>
      <c r="H42" s="492"/>
    </row>
    <row r="43" spans="1:8" s="241" customFormat="1" ht="16.5" customHeight="1" x14ac:dyDescent="0.25">
      <c r="A43" s="289" t="s">
        <v>1500</v>
      </c>
      <c r="B43" s="289" t="s">
        <v>984</v>
      </c>
      <c r="C43" s="295" t="s">
        <v>1773</v>
      </c>
      <c r="D43" s="295" t="s">
        <v>881</v>
      </c>
      <c r="E43" s="289" t="s">
        <v>1521</v>
      </c>
      <c r="F43" s="289" t="s">
        <v>1143</v>
      </c>
    </row>
    <row r="44" spans="1:8" s="241" customFormat="1" ht="16.5" customHeight="1" x14ac:dyDescent="0.25">
      <c r="A44" s="289" t="s">
        <v>157</v>
      </c>
      <c r="B44" s="289" t="s">
        <v>44</v>
      </c>
      <c r="C44" s="294" t="s">
        <v>73</v>
      </c>
      <c r="D44" s="294" t="s">
        <v>73</v>
      </c>
      <c r="E44" s="289" t="s">
        <v>146</v>
      </c>
      <c r="F44" s="289" t="s">
        <v>148</v>
      </c>
    </row>
    <row r="45" spans="1:8" s="241" customFormat="1" ht="16.5" customHeight="1" x14ac:dyDescent="0.25">
      <c r="A45" s="289" t="s">
        <v>1585</v>
      </c>
      <c r="B45" s="289" t="s">
        <v>985</v>
      </c>
      <c r="C45" s="289" t="s">
        <v>1728</v>
      </c>
      <c r="D45" s="289" t="s">
        <v>1728</v>
      </c>
      <c r="E45" s="289" t="s">
        <v>1522</v>
      </c>
      <c r="F45" s="289" t="s">
        <v>1144</v>
      </c>
    </row>
    <row r="46" spans="1:8" s="241" customFormat="1" ht="16.5" customHeight="1" x14ac:dyDescent="0.25">
      <c r="A46" s="293" t="s">
        <v>41</v>
      </c>
      <c r="B46" s="290" t="s">
        <v>161</v>
      </c>
      <c r="C46" s="293" t="s">
        <v>41</v>
      </c>
      <c r="D46" s="293" t="s">
        <v>41</v>
      </c>
      <c r="E46" s="290" t="s">
        <v>161</v>
      </c>
      <c r="F46" s="290" t="s">
        <v>161</v>
      </c>
    </row>
    <row r="47" spans="1:8" s="241" customFormat="1" ht="16.5" customHeight="1" x14ac:dyDescent="0.25">
      <c r="A47" s="401" t="s">
        <v>1151</v>
      </c>
      <c r="B47" s="290" t="s">
        <v>1046</v>
      </c>
      <c r="C47" s="293" t="s">
        <v>31</v>
      </c>
      <c r="D47" s="293" t="s">
        <v>163</v>
      </c>
      <c r="E47" s="290" t="s">
        <v>1297</v>
      </c>
      <c r="F47" s="290" t="s">
        <v>795</v>
      </c>
    </row>
    <row r="48" spans="1:8" s="241" customFormat="1" ht="16.5" customHeight="1" x14ac:dyDescent="0.25">
      <c r="A48" s="290" t="s">
        <v>99</v>
      </c>
      <c r="B48" s="290" t="s">
        <v>882</v>
      </c>
      <c r="C48" s="293" t="s">
        <v>20</v>
      </c>
      <c r="D48" s="293" t="s">
        <v>298</v>
      </c>
      <c r="E48" s="290" t="s">
        <v>801</v>
      </c>
      <c r="F48" s="290" t="s">
        <v>801</v>
      </c>
    </row>
    <row r="49" spans="1:8" s="241" customFormat="1" ht="16.5" customHeight="1" x14ac:dyDescent="0.25">
      <c r="A49" s="289" t="s">
        <v>16</v>
      </c>
      <c r="B49" s="289" t="s">
        <v>16</v>
      </c>
      <c r="C49" s="294" t="s">
        <v>1774</v>
      </c>
      <c r="D49" s="294" t="s">
        <v>684</v>
      </c>
      <c r="E49" s="289" t="s">
        <v>480</v>
      </c>
      <c r="F49" s="289" t="s">
        <v>1130</v>
      </c>
    </row>
    <row r="50" spans="1:8" s="241" customFormat="1" ht="16.5" customHeight="1" x14ac:dyDescent="0.25">
      <c r="A50" s="289" t="s">
        <v>1152</v>
      </c>
      <c r="B50" s="289" t="s">
        <v>150</v>
      </c>
      <c r="C50" s="294" t="s">
        <v>15</v>
      </c>
      <c r="D50" s="294" t="s">
        <v>13</v>
      </c>
      <c r="E50" s="289" t="s">
        <v>1294</v>
      </c>
      <c r="F50" s="289" t="s">
        <v>796</v>
      </c>
    </row>
    <row r="51" spans="1:8" s="241" customFormat="1" ht="16.5" customHeight="1" x14ac:dyDescent="0.25">
      <c r="A51" s="289" t="s">
        <v>164</v>
      </c>
      <c r="B51" s="289" t="s">
        <v>51</v>
      </c>
      <c r="C51" s="294" t="s">
        <v>205</v>
      </c>
      <c r="D51" s="294" t="s">
        <v>205</v>
      </c>
      <c r="E51" s="289" t="s">
        <v>164</v>
      </c>
      <c r="F51" s="289" t="s">
        <v>203</v>
      </c>
    </row>
    <row r="52" spans="1:8" s="241" customFormat="1" ht="15" customHeight="1" x14ac:dyDescent="0.25">
      <c r="A52" s="289" t="s">
        <v>1267</v>
      </c>
      <c r="B52" s="289" t="s">
        <v>1826</v>
      </c>
      <c r="C52" s="289" t="s">
        <v>1537</v>
      </c>
      <c r="D52" s="289" t="s">
        <v>1580</v>
      </c>
      <c r="E52" s="289" t="s">
        <v>1103</v>
      </c>
      <c r="F52" s="289" t="s">
        <v>1116</v>
      </c>
    </row>
    <row r="53" spans="1:8" s="241" customFormat="1" ht="16.5" customHeight="1" x14ac:dyDescent="0.25">
      <c r="A53" s="289" t="s">
        <v>1577</v>
      </c>
      <c r="B53" s="289" t="s">
        <v>1014</v>
      </c>
      <c r="C53" s="295" t="s">
        <v>1775</v>
      </c>
      <c r="D53" s="295" t="s">
        <v>1729</v>
      </c>
      <c r="E53" s="289" t="s">
        <v>1149</v>
      </c>
      <c r="F53" s="289" t="s">
        <v>1137</v>
      </c>
    </row>
    <row r="54" spans="1:8" s="241" customFormat="1" ht="16.5" customHeight="1" x14ac:dyDescent="0.25">
      <c r="A54" s="289" t="s">
        <v>1499</v>
      </c>
      <c r="B54" s="731" t="s">
        <v>988</v>
      </c>
      <c r="C54" s="294" t="s">
        <v>1714</v>
      </c>
      <c r="D54" s="294" t="s">
        <v>1714</v>
      </c>
      <c r="E54" s="289" t="s">
        <v>1523</v>
      </c>
      <c r="F54" s="289" t="s">
        <v>1131</v>
      </c>
    </row>
    <row r="55" spans="1:8" s="241" customFormat="1" ht="16.5" customHeight="1" x14ac:dyDescent="0.25">
      <c r="A55" s="281" t="s">
        <v>1027</v>
      </c>
      <c r="B55" s="281" t="s">
        <v>4</v>
      </c>
      <c r="C55" s="281" t="s">
        <v>1</v>
      </c>
      <c r="D55" s="281" t="s">
        <v>2</v>
      </c>
      <c r="E55" s="281" t="s">
        <v>3</v>
      </c>
      <c r="F55" s="281" t="s">
        <v>25</v>
      </c>
      <c r="H55" s="491"/>
    </row>
    <row r="56" spans="1:8" s="241" customFormat="1" ht="16.5" customHeight="1" x14ac:dyDescent="0.25">
      <c r="A56" s="289" t="s">
        <v>1646</v>
      </c>
      <c r="B56" s="289" t="s">
        <v>1007</v>
      </c>
      <c r="C56" s="295" t="s">
        <v>1076</v>
      </c>
      <c r="D56" s="269"/>
      <c r="E56" s="289" t="s">
        <v>1693</v>
      </c>
      <c r="F56" s="289" t="s">
        <v>1561</v>
      </c>
    </row>
    <row r="57" spans="1:8" s="241" customFormat="1" ht="16.5" customHeight="1" x14ac:dyDescent="0.25">
      <c r="A57" s="289" t="s">
        <v>157</v>
      </c>
      <c r="B57" s="289" t="s">
        <v>44</v>
      </c>
      <c r="C57" s="294" t="s">
        <v>73</v>
      </c>
      <c r="D57" s="269"/>
      <c r="E57" s="289" t="s">
        <v>165</v>
      </c>
      <c r="F57" s="289" t="s">
        <v>148</v>
      </c>
    </row>
    <row r="58" spans="1:8" s="241" customFormat="1" ht="16.5" customHeight="1" x14ac:dyDescent="0.25">
      <c r="A58" s="289" t="s">
        <v>1647</v>
      </c>
      <c r="B58" s="289" t="s">
        <v>1006</v>
      </c>
      <c r="C58" s="289" t="s">
        <v>1761</v>
      </c>
      <c r="D58" s="269"/>
      <c r="E58" s="289" t="s">
        <v>886</v>
      </c>
      <c r="F58" s="289" t="s">
        <v>1563</v>
      </c>
    </row>
    <row r="59" spans="1:8" s="241" customFormat="1" ht="16.5" customHeight="1" x14ac:dyDescent="0.25">
      <c r="A59" s="293" t="s">
        <v>41</v>
      </c>
      <c r="B59" s="290" t="s">
        <v>161</v>
      </c>
      <c r="C59" s="293" t="s">
        <v>41</v>
      </c>
      <c r="D59" s="269"/>
      <c r="E59" s="293" t="s">
        <v>161</v>
      </c>
      <c r="F59" s="290" t="s">
        <v>161</v>
      </c>
    </row>
    <row r="60" spans="1:8" s="241" customFormat="1" ht="16.5" customHeight="1" x14ac:dyDescent="0.25">
      <c r="A60" s="401" t="s">
        <v>1151</v>
      </c>
      <c r="B60" s="290" t="s">
        <v>1060</v>
      </c>
      <c r="C60" s="293" t="s">
        <v>1060</v>
      </c>
      <c r="D60" s="269"/>
      <c r="E60" s="290" t="s">
        <v>31</v>
      </c>
      <c r="F60" s="290" t="s">
        <v>795</v>
      </c>
    </row>
    <row r="61" spans="1:8" s="241" customFormat="1" ht="16.5" customHeight="1" x14ac:dyDescent="0.25">
      <c r="A61" s="290" t="s">
        <v>99</v>
      </c>
      <c r="B61" s="290" t="s">
        <v>20</v>
      </c>
      <c r="C61" s="293" t="s">
        <v>149</v>
      </c>
      <c r="D61" s="269"/>
      <c r="E61" s="290" t="s">
        <v>793</v>
      </c>
      <c r="F61" s="290" t="s">
        <v>801</v>
      </c>
    </row>
    <row r="62" spans="1:8" s="241" customFormat="1" ht="16.5" customHeight="1" x14ac:dyDescent="0.25">
      <c r="A62" s="289" t="s">
        <v>16</v>
      </c>
      <c r="B62" s="289" t="s">
        <v>16</v>
      </c>
      <c r="C62" s="294" t="s">
        <v>684</v>
      </c>
      <c r="D62" s="269"/>
      <c r="E62" s="289" t="s">
        <v>480</v>
      </c>
      <c r="F62" s="289" t="s">
        <v>1130</v>
      </c>
    </row>
    <row r="63" spans="1:8" s="241" customFormat="1" ht="16.5" customHeight="1" x14ac:dyDescent="0.25">
      <c r="A63" s="289" t="s">
        <v>1152</v>
      </c>
      <c r="B63" s="289" t="s">
        <v>162</v>
      </c>
      <c r="C63" s="294" t="s">
        <v>162</v>
      </c>
      <c r="D63" s="269"/>
      <c r="E63" s="289" t="s">
        <v>15</v>
      </c>
      <c r="F63" s="289" t="s">
        <v>796</v>
      </c>
    </row>
    <row r="64" spans="1:8" s="241" customFormat="1" ht="16.5" customHeight="1" x14ac:dyDescent="0.25">
      <c r="A64" s="289" t="s">
        <v>164</v>
      </c>
      <c r="B64" s="289" t="s">
        <v>203</v>
      </c>
      <c r="C64" s="294" t="s">
        <v>205</v>
      </c>
      <c r="D64" s="269"/>
      <c r="E64" s="289" t="s">
        <v>51</v>
      </c>
      <c r="F64" s="289" t="s">
        <v>203</v>
      </c>
    </row>
    <row r="65" spans="1:6" s="241" customFormat="1" ht="15" customHeight="1" x14ac:dyDescent="0.25">
      <c r="A65" s="289" t="s">
        <v>1598</v>
      </c>
      <c r="B65" s="289" t="s">
        <v>1109</v>
      </c>
      <c r="C65" s="289" t="s">
        <v>1776</v>
      </c>
      <c r="D65" s="269"/>
      <c r="E65" s="289" t="s">
        <v>1225</v>
      </c>
      <c r="F65" s="289" t="s">
        <v>1146</v>
      </c>
    </row>
    <row r="66" spans="1:6" s="241" customFormat="1" ht="16.5" customHeight="1" x14ac:dyDescent="0.25">
      <c r="A66" s="289" t="s">
        <v>1604</v>
      </c>
      <c r="B66" s="289" t="s">
        <v>1827</v>
      </c>
      <c r="C66" s="295" t="s">
        <v>1692</v>
      </c>
      <c r="D66" s="269"/>
      <c r="E66" s="289" t="s">
        <v>1163</v>
      </c>
      <c r="F66" s="289" t="s">
        <v>1133</v>
      </c>
    </row>
    <row r="67" spans="1:6" s="241" customFormat="1" ht="16.5" customHeight="1" x14ac:dyDescent="0.25">
      <c r="A67" s="289" t="s">
        <v>1648</v>
      </c>
      <c r="B67" s="289" t="s">
        <v>1418</v>
      </c>
      <c r="C67" s="294" t="s">
        <v>1714</v>
      </c>
      <c r="D67" s="269"/>
      <c r="E67" s="289" t="s">
        <v>1694</v>
      </c>
      <c r="F67" s="289" t="s">
        <v>1562</v>
      </c>
    </row>
    <row r="68" spans="1:6" s="241" customFormat="1" ht="16.5" customHeight="1" x14ac:dyDescent="0.25">
      <c r="A68" s="281" t="s">
        <v>0</v>
      </c>
      <c r="B68" s="281" t="s">
        <v>4</v>
      </c>
      <c r="C68" s="281" t="s">
        <v>1</v>
      </c>
      <c r="D68" s="281" t="s">
        <v>2</v>
      </c>
      <c r="E68" s="281" t="s">
        <v>3</v>
      </c>
      <c r="F68" s="281" t="s">
        <v>25</v>
      </c>
    </row>
    <row r="69" spans="1:6" s="241" customFormat="1" ht="15.75" customHeight="1" x14ac:dyDescent="0.25">
      <c r="A69" s="269"/>
      <c r="B69" s="289" t="s">
        <v>1008</v>
      </c>
      <c r="C69" s="291"/>
      <c r="D69" s="269"/>
      <c r="E69" s="289" t="s">
        <v>1693</v>
      </c>
      <c r="F69" s="289" t="s">
        <v>1147</v>
      </c>
    </row>
    <row r="70" spans="1:6" s="241" customFormat="1" x14ac:dyDescent="0.25">
      <c r="A70" s="269"/>
      <c r="B70" s="289" t="s">
        <v>44</v>
      </c>
      <c r="C70" s="291"/>
      <c r="D70" s="269"/>
      <c r="E70" s="289" t="s">
        <v>165</v>
      </c>
      <c r="F70" s="289" t="s">
        <v>148</v>
      </c>
    </row>
    <row r="71" spans="1:6" s="241" customFormat="1" x14ac:dyDescent="0.25">
      <c r="A71" s="269"/>
      <c r="B71" s="289" t="s">
        <v>1006</v>
      </c>
      <c r="C71" s="291"/>
      <c r="D71" s="269"/>
      <c r="E71" s="289" t="s">
        <v>971</v>
      </c>
      <c r="F71" s="289" t="s">
        <v>1148</v>
      </c>
    </row>
    <row r="72" spans="1:6" s="241" customFormat="1" x14ac:dyDescent="0.25">
      <c r="A72" s="269"/>
      <c r="B72" s="290" t="s">
        <v>161</v>
      </c>
      <c r="C72" s="290"/>
      <c r="D72" s="269"/>
      <c r="E72" s="293" t="s">
        <v>161</v>
      </c>
      <c r="F72" s="290" t="s">
        <v>161</v>
      </c>
    </row>
    <row r="73" spans="1:6" s="241" customFormat="1" x14ac:dyDescent="0.25">
      <c r="A73" s="269"/>
      <c r="B73" s="290" t="s">
        <v>1060</v>
      </c>
      <c r="C73" s="291"/>
      <c r="D73" s="269"/>
      <c r="E73" s="290" t="s">
        <v>31</v>
      </c>
      <c r="F73" s="290" t="s">
        <v>1046</v>
      </c>
    </row>
    <row r="74" spans="1:6" s="241" customFormat="1" x14ac:dyDescent="0.25">
      <c r="A74" s="269"/>
      <c r="B74" s="290" t="s">
        <v>453</v>
      </c>
      <c r="C74" s="291"/>
      <c r="D74" s="269"/>
      <c r="E74" s="290" t="s">
        <v>793</v>
      </c>
      <c r="F74" s="290" t="s">
        <v>801</v>
      </c>
    </row>
    <row r="75" spans="1:6" s="241" customFormat="1" x14ac:dyDescent="0.25">
      <c r="A75" s="269"/>
      <c r="B75" s="289" t="s">
        <v>16</v>
      </c>
      <c r="C75" s="291"/>
      <c r="D75" s="269"/>
      <c r="E75" s="289" t="s">
        <v>480</v>
      </c>
      <c r="F75" s="289" t="s">
        <v>1130</v>
      </c>
    </row>
    <row r="76" spans="1:6" s="241" customFormat="1" x14ac:dyDescent="0.25">
      <c r="A76" s="269"/>
      <c r="B76" s="289" t="s">
        <v>162</v>
      </c>
      <c r="C76" s="291"/>
      <c r="D76" s="269"/>
      <c r="E76" s="289" t="s">
        <v>15</v>
      </c>
      <c r="F76" s="289" t="s">
        <v>150</v>
      </c>
    </row>
    <row r="77" spans="1:6" s="241" customFormat="1" x14ac:dyDescent="0.25">
      <c r="A77" s="269"/>
      <c r="B77" s="289" t="s">
        <v>203</v>
      </c>
      <c r="C77" s="291"/>
      <c r="D77" s="269"/>
      <c r="E77" s="289" t="s">
        <v>51</v>
      </c>
      <c r="F77" s="289" t="s">
        <v>203</v>
      </c>
    </row>
    <row r="78" spans="1:6" s="241" customFormat="1" x14ac:dyDescent="0.25">
      <c r="A78" s="269"/>
      <c r="B78" s="289" t="s">
        <v>1166</v>
      </c>
      <c r="C78" s="291"/>
      <c r="D78" s="269"/>
      <c r="E78" s="289" t="s">
        <v>1612</v>
      </c>
      <c r="F78" s="289" t="s">
        <v>1223</v>
      </c>
    </row>
    <row r="79" spans="1:6" s="241" customFormat="1" x14ac:dyDescent="0.25">
      <c r="A79" s="269"/>
      <c r="B79" s="289" t="s">
        <v>1047</v>
      </c>
      <c r="C79" s="291"/>
      <c r="D79" s="269"/>
      <c r="E79" s="289" t="s">
        <v>1245</v>
      </c>
      <c r="F79" s="289" t="s">
        <v>1186</v>
      </c>
    </row>
    <row r="80" spans="1:6" s="241" customFormat="1" ht="15" customHeight="1" x14ac:dyDescent="0.25">
      <c r="A80" s="269"/>
      <c r="B80" s="289" t="s">
        <v>1418</v>
      </c>
      <c r="C80" s="291"/>
      <c r="D80" s="269"/>
      <c r="E80" s="289" t="s">
        <v>1695</v>
      </c>
      <c r="F80" s="289" t="s">
        <v>1150</v>
      </c>
    </row>
    <row r="81" spans="1:6" s="241" customFormat="1" ht="16.5" customHeight="1" x14ac:dyDescent="0.25">
      <c r="A81" s="281" t="s">
        <v>0</v>
      </c>
      <c r="B81" s="281" t="s">
        <v>1424</v>
      </c>
      <c r="C81" s="281" t="s">
        <v>1</v>
      </c>
      <c r="D81" s="281" t="s">
        <v>2</v>
      </c>
      <c r="E81" s="281" t="s">
        <v>3</v>
      </c>
      <c r="F81" s="281" t="s">
        <v>25</v>
      </c>
    </row>
    <row r="82" spans="1:6" s="241" customFormat="1" ht="18.75" customHeight="1" x14ac:dyDescent="0.25">
      <c r="A82" s="269"/>
      <c r="B82" s="289" t="s">
        <v>1164</v>
      </c>
      <c r="C82" s="291"/>
      <c r="D82" s="289"/>
      <c r="E82" s="289" t="s">
        <v>1772</v>
      </c>
      <c r="F82" s="289" t="s">
        <v>1246</v>
      </c>
    </row>
    <row r="83" spans="1:6" s="241" customFormat="1" x14ac:dyDescent="0.25">
      <c r="A83" s="269"/>
      <c r="B83" s="289" t="s">
        <v>157</v>
      </c>
      <c r="C83" s="291"/>
      <c r="D83" s="289"/>
      <c r="E83" s="289" t="s">
        <v>165</v>
      </c>
      <c r="F83" s="289" t="s">
        <v>148</v>
      </c>
    </row>
    <row r="84" spans="1:6" s="241" customFormat="1" x14ac:dyDescent="0.25">
      <c r="A84" s="269"/>
      <c r="B84" s="289" t="s">
        <v>1165</v>
      </c>
      <c r="C84" s="291"/>
      <c r="D84" s="289"/>
      <c r="E84" s="289" t="s">
        <v>1696</v>
      </c>
      <c r="F84" s="289" t="s">
        <v>1247</v>
      </c>
    </row>
    <row r="85" spans="1:6" s="241" customFormat="1" x14ac:dyDescent="0.25">
      <c r="A85" s="269"/>
      <c r="B85" s="293" t="s">
        <v>41</v>
      </c>
      <c r="C85" s="290"/>
      <c r="D85" s="290"/>
      <c r="E85" s="293" t="s">
        <v>161</v>
      </c>
      <c r="F85" s="290" t="s">
        <v>161</v>
      </c>
    </row>
    <row r="86" spans="1:6" s="241" customFormat="1" x14ac:dyDescent="0.25">
      <c r="A86" s="269"/>
      <c r="B86" s="401" t="s">
        <v>795</v>
      </c>
      <c r="C86" s="291"/>
      <c r="D86" s="290"/>
      <c r="E86" s="290" t="s">
        <v>31</v>
      </c>
      <c r="F86" s="290" t="s">
        <v>163</v>
      </c>
    </row>
    <row r="87" spans="1:6" s="241" customFormat="1" x14ac:dyDescent="0.25">
      <c r="A87" s="269"/>
      <c r="B87" s="290" t="s">
        <v>75</v>
      </c>
      <c r="C87" s="291"/>
      <c r="D87" s="290"/>
      <c r="E87" s="290" t="s">
        <v>479</v>
      </c>
      <c r="F87" s="290" t="s">
        <v>49</v>
      </c>
    </row>
    <row r="88" spans="1:6" s="241" customFormat="1" x14ac:dyDescent="0.25">
      <c r="A88" s="269"/>
      <c r="B88" s="289" t="s">
        <v>903</v>
      </c>
      <c r="C88" s="291"/>
      <c r="D88" s="289"/>
      <c r="E88" s="289" t="s">
        <v>480</v>
      </c>
      <c r="F88" s="289" t="s">
        <v>1248</v>
      </c>
    </row>
    <row r="89" spans="1:6" s="241" customFormat="1" x14ac:dyDescent="0.25">
      <c r="A89" s="269"/>
      <c r="B89" s="289" t="s">
        <v>796</v>
      </c>
      <c r="C89" s="291"/>
      <c r="D89" s="289"/>
      <c r="E89" s="289" t="s">
        <v>15</v>
      </c>
      <c r="F89" s="289" t="s">
        <v>13</v>
      </c>
    </row>
    <row r="90" spans="1:6" s="241" customFormat="1" x14ac:dyDescent="0.25">
      <c r="A90" s="269"/>
      <c r="B90" s="289" t="s">
        <v>203</v>
      </c>
      <c r="C90" s="291"/>
      <c r="D90" s="289"/>
      <c r="E90" s="289" t="s">
        <v>51</v>
      </c>
      <c r="F90" s="289" t="s">
        <v>203</v>
      </c>
    </row>
    <row r="91" spans="1:6" s="241" customFormat="1" x14ac:dyDescent="0.25">
      <c r="A91" s="269"/>
      <c r="B91" s="289" t="s">
        <v>1069</v>
      </c>
      <c r="C91" s="291"/>
      <c r="D91" s="289"/>
      <c r="E91" s="289" t="s">
        <v>1546</v>
      </c>
      <c r="F91" s="289" t="s">
        <v>1225</v>
      </c>
    </row>
    <row r="92" spans="1:6" s="241" customFormat="1" x14ac:dyDescent="0.25">
      <c r="A92" s="269"/>
      <c r="B92" s="289" t="s">
        <v>1163</v>
      </c>
      <c r="C92" s="291"/>
      <c r="D92" s="289"/>
      <c r="E92" s="289" t="s">
        <v>1532</v>
      </c>
      <c r="F92" s="289" t="s">
        <v>1153</v>
      </c>
    </row>
    <row r="93" spans="1:6" s="241" customFormat="1" ht="17.25" customHeight="1" x14ac:dyDescent="0.25">
      <c r="A93" s="269"/>
      <c r="B93" s="289" t="s">
        <v>1167</v>
      </c>
      <c r="C93" s="291"/>
      <c r="D93" s="289"/>
      <c r="E93" s="289" t="s">
        <v>1694</v>
      </c>
      <c r="F93" s="289" t="s">
        <v>1209</v>
      </c>
    </row>
    <row r="94" spans="1:6" s="241" customFormat="1" ht="16.5" customHeight="1" x14ac:dyDescent="0.25">
      <c r="A94" s="281" t="s">
        <v>0</v>
      </c>
      <c r="B94" s="281" t="s">
        <v>4</v>
      </c>
      <c r="C94" s="281" t="s">
        <v>1</v>
      </c>
      <c r="D94" s="281" t="s">
        <v>2</v>
      </c>
      <c r="E94" s="281" t="s">
        <v>3</v>
      </c>
      <c r="F94" s="281" t="s">
        <v>25</v>
      </c>
    </row>
    <row r="95" spans="1:6" s="241" customFormat="1" ht="17.25" customHeight="1" x14ac:dyDescent="0.25">
      <c r="A95" s="269"/>
      <c r="B95" s="289" t="s">
        <v>1525</v>
      </c>
      <c r="C95" s="291"/>
      <c r="D95" s="289"/>
      <c r="E95" s="289"/>
      <c r="F95" s="289" t="s">
        <v>1578</v>
      </c>
    </row>
    <row r="96" spans="1:6" s="241" customFormat="1" x14ac:dyDescent="0.25">
      <c r="A96" s="269"/>
      <c r="B96" s="289" t="s">
        <v>146</v>
      </c>
      <c r="C96" s="291"/>
      <c r="D96" s="289"/>
      <c r="E96" s="289"/>
      <c r="F96" s="289" t="s">
        <v>148</v>
      </c>
    </row>
    <row r="97" spans="1:6" s="241" customFormat="1" x14ac:dyDescent="0.25">
      <c r="A97" s="269"/>
      <c r="B97" s="289" t="s">
        <v>1526</v>
      </c>
      <c r="C97" s="291"/>
      <c r="D97" s="289"/>
      <c r="E97" s="289"/>
      <c r="F97" s="289" t="s">
        <v>1579</v>
      </c>
    </row>
    <row r="98" spans="1:6" s="241" customFormat="1" x14ac:dyDescent="0.25">
      <c r="A98" s="269"/>
      <c r="B98" s="290" t="s">
        <v>161</v>
      </c>
      <c r="C98" s="290"/>
      <c r="D98" s="290"/>
      <c r="E98" s="290"/>
      <c r="F98" s="290" t="s">
        <v>161</v>
      </c>
    </row>
    <row r="99" spans="1:6" s="241" customFormat="1" x14ac:dyDescent="0.25">
      <c r="A99" s="269"/>
      <c r="B99" s="290" t="s">
        <v>795</v>
      </c>
      <c r="C99" s="291"/>
      <c r="D99" s="290"/>
      <c r="E99" s="290"/>
      <c r="F99" s="290" t="s">
        <v>795</v>
      </c>
    </row>
    <row r="100" spans="1:6" s="241" customFormat="1" x14ac:dyDescent="0.25">
      <c r="A100" s="269"/>
      <c r="B100" s="290" t="s">
        <v>49</v>
      </c>
      <c r="C100" s="291"/>
      <c r="D100" s="290"/>
      <c r="E100" s="290"/>
      <c r="F100" s="290" t="s">
        <v>801</v>
      </c>
    </row>
    <row r="101" spans="1:6" s="241" customFormat="1" x14ac:dyDescent="0.25">
      <c r="A101" s="269"/>
      <c r="B101" s="289" t="s">
        <v>480</v>
      </c>
      <c r="C101" s="291"/>
      <c r="D101" s="289"/>
      <c r="E101" s="289"/>
      <c r="F101" s="289" t="s">
        <v>1130</v>
      </c>
    </row>
    <row r="102" spans="1:6" s="241" customFormat="1" x14ac:dyDescent="0.25">
      <c r="A102" s="269"/>
      <c r="B102" s="289" t="s">
        <v>796</v>
      </c>
      <c r="C102" s="291"/>
      <c r="D102" s="289"/>
      <c r="E102" s="289"/>
      <c r="F102" s="289" t="s">
        <v>796</v>
      </c>
    </row>
    <row r="103" spans="1:6" s="241" customFormat="1" x14ac:dyDescent="0.25">
      <c r="A103" s="269"/>
      <c r="B103" s="289" t="s">
        <v>164</v>
      </c>
      <c r="C103" s="291"/>
      <c r="D103" s="289"/>
      <c r="E103" s="289"/>
      <c r="F103" s="289" t="s">
        <v>203</v>
      </c>
    </row>
    <row r="104" spans="1:6" s="241" customFormat="1" x14ac:dyDescent="0.25">
      <c r="A104" s="269"/>
      <c r="B104" s="289" t="s">
        <v>1556</v>
      </c>
      <c r="C104" s="291"/>
      <c r="D104" s="289"/>
      <c r="E104" s="289"/>
      <c r="F104" s="289" t="s">
        <v>1530</v>
      </c>
    </row>
    <row r="105" spans="1:6" s="241" customFormat="1" x14ac:dyDescent="0.25">
      <c r="A105" s="269"/>
      <c r="B105" s="289" t="s">
        <v>1532</v>
      </c>
      <c r="C105" s="291"/>
      <c r="D105" s="289"/>
      <c r="E105" s="289"/>
      <c r="F105" s="289" t="s">
        <v>1245</v>
      </c>
    </row>
    <row r="106" spans="1:6" s="241" customFormat="1" ht="18.75" customHeight="1" x14ac:dyDescent="0.25">
      <c r="A106" s="269"/>
      <c r="B106" s="289" t="s">
        <v>1524</v>
      </c>
      <c r="C106" s="291"/>
      <c r="D106" s="289"/>
      <c r="E106" s="289"/>
      <c r="F106" s="289" t="s">
        <v>1551</v>
      </c>
    </row>
    <row r="107" spans="1:6" s="241" customFormat="1" ht="16.5" customHeight="1" x14ac:dyDescent="0.25">
      <c r="A107" s="281" t="s">
        <v>0</v>
      </c>
      <c r="B107" s="281" t="s">
        <v>1767</v>
      </c>
      <c r="C107" s="281" t="s">
        <v>1</v>
      </c>
      <c r="D107" s="281" t="s">
        <v>2</v>
      </c>
      <c r="E107" s="281" t="s">
        <v>3</v>
      </c>
      <c r="F107" s="281" t="s">
        <v>25</v>
      </c>
    </row>
    <row r="108" spans="1:6" s="241" customFormat="1" x14ac:dyDescent="0.25">
      <c r="A108" s="269"/>
      <c r="B108" s="289" t="s">
        <v>1646</v>
      </c>
      <c r="C108" s="291"/>
      <c r="D108" s="289"/>
      <c r="E108" s="289"/>
      <c r="F108" s="289" t="s">
        <v>1566</v>
      </c>
    </row>
    <row r="109" spans="1:6" s="241" customFormat="1" x14ac:dyDescent="0.25">
      <c r="A109" s="269"/>
      <c r="B109" s="289" t="s">
        <v>157</v>
      </c>
      <c r="C109" s="291"/>
      <c r="D109" s="289"/>
      <c r="E109" s="289"/>
      <c r="F109" s="289" t="s">
        <v>148</v>
      </c>
    </row>
    <row r="110" spans="1:6" s="241" customFormat="1" x14ac:dyDescent="0.25">
      <c r="A110" s="269"/>
      <c r="B110" s="289" t="s">
        <v>1647</v>
      </c>
      <c r="C110" s="291"/>
      <c r="D110" s="289"/>
      <c r="E110" s="289"/>
      <c r="F110" s="289" t="s">
        <v>1567</v>
      </c>
    </row>
    <row r="111" spans="1:6" s="241" customFormat="1" x14ac:dyDescent="0.25">
      <c r="A111" s="269"/>
      <c r="B111" s="293" t="s">
        <v>41</v>
      </c>
      <c r="C111" s="290"/>
      <c r="D111" s="290"/>
      <c r="E111" s="290"/>
      <c r="F111" s="290" t="s">
        <v>161</v>
      </c>
    </row>
    <row r="112" spans="1:6" s="241" customFormat="1" x14ac:dyDescent="0.25">
      <c r="A112" s="269"/>
      <c r="B112" s="401" t="s">
        <v>1151</v>
      </c>
      <c r="C112" s="291"/>
      <c r="D112" s="290"/>
      <c r="E112" s="290"/>
      <c r="F112" s="290" t="s">
        <v>1046</v>
      </c>
    </row>
    <row r="113" spans="1:6" s="241" customFormat="1" x14ac:dyDescent="0.25">
      <c r="A113" s="269"/>
      <c r="B113" s="290" t="s">
        <v>99</v>
      </c>
      <c r="C113" s="291"/>
      <c r="D113" s="290"/>
      <c r="E113" s="290"/>
      <c r="F113" s="290" t="s">
        <v>801</v>
      </c>
    </row>
    <row r="114" spans="1:6" s="241" customFormat="1" x14ac:dyDescent="0.25">
      <c r="A114" s="269"/>
      <c r="B114" s="289" t="s">
        <v>16</v>
      </c>
      <c r="C114" s="291"/>
      <c r="D114" s="289"/>
      <c r="E114" s="289"/>
      <c r="F114" s="289" t="s">
        <v>1130</v>
      </c>
    </row>
    <row r="115" spans="1:6" s="241" customFormat="1" x14ac:dyDescent="0.25">
      <c r="A115" s="269"/>
      <c r="B115" s="289" t="s">
        <v>1152</v>
      </c>
      <c r="C115" s="291"/>
      <c r="D115" s="289"/>
      <c r="E115" s="289"/>
      <c r="F115" s="289" t="s">
        <v>150</v>
      </c>
    </row>
    <row r="116" spans="1:6" s="241" customFormat="1" x14ac:dyDescent="0.25">
      <c r="A116" s="269"/>
      <c r="B116" s="289" t="s">
        <v>164</v>
      </c>
      <c r="C116" s="291"/>
      <c r="D116" s="289"/>
      <c r="E116" s="289"/>
      <c r="F116" s="289" t="s">
        <v>203</v>
      </c>
    </row>
    <row r="117" spans="1:6" s="241" customFormat="1" x14ac:dyDescent="0.25">
      <c r="A117" s="269"/>
      <c r="B117" s="289" t="s">
        <v>1537</v>
      </c>
      <c r="C117" s="291"/>
      <c r="D117" s="289"/>
      <c r="E117" s="289"/>
      <c r="F117" s="289" t="s">
        <v>1576</v>
      </c>
    </row>
    <row r="118" spans="1:6" s="241" customFormat="1" x14ac:dyDescent="0.25">
      <c r="A118" s="269"/>
      <c r="B118" s="289" t="s">
        <v>1604</v>
      </c>
      <c r="C118" s="291"/>
      <c r="D118" s="289"/>
      <c r="E118" s="289"/>
      <c r="F118" s="289" t="s">
        <v>1541</v>
      </c>
    </row>
    <row r="119" spans="1:6" s="241" customFormat="1" ht="18" customHeight="1" x14ac:dyDescent="0.25">
      <c r="A119" s="269"/>
      <c r="B119" s="289" t="s">
        <v>1648</v>
      </c>
      <c r="C119" s="291"/>
      <c r="D119" s="289"/>
      <c r="E119" s="289"/>
      <c r="F119" s="289" t="s">
        <v>1568</v>
      </c>
    </row>
    <row r="120" spans="1:6" s="241" customFormat="1" ht="16.5" customHeight="1" x14ac:dyDescent="0.25">
      <c r="A120" s="281" t="s">
        <v>0</v>
      </c>
      <c r="B120" s="281" t="s">
        <v>4</v>
      </c>
      <c r="C120" s="281" t="s">
        <v>1</v>
      </c>
      <c r="D120" s="281" t="s">
        <v>2</v>
      </c>
      <c r="E120" s="281" t="s">
        <v>3</v>
      </c>
      <c r="F120" s="281" t="s">
        <v>25</v>
      </c>
    </row>
    <row r="121" spans="1:6" s="241" customFormat="1" x14ac:dyDescent="0.25">
      <c r="A121" s="269"/>
      <c r="B121" s="289"/>
      <c r="C121" s="291"/>
      <c r="D121" s="289"/>
      <c r="E121" s="289"/>
      <c r="F121" s="289" t="s">
        <v>1569</v>
      </c>
    </row>
    <row r="122" spans="1:6" s="241" customFormat="1" x14ac:dyDescent="0.25">
      <c r="A122" s="269"/>
      <c r="B122" s="289"/>
      <c r="C122" s="291"/>
      <c r="D122" s="289"/>
      <c r="E122" s="289"/>
      <c r="F122" s="289" t="s">
        <v>148</v>
      </c>
    </row>
    <row r="123" spans="1:6" s="241" customFormat="1" x14ac:dyDescent="0.25">
      <c r="A123" s="269"/>
      <c r="B123" s="289"/>
      <c r="C123" s="291"/>
      <c r="D123" s="289"/>
      <c r="E123" s="289"/>
      <c r="F123" s="289" t="s">
        <v>1570</v>
      </c>
    </row>
    <row r="124" spans="1:6" s="241" customFormat="1" x14ac:dyDescent="0.25">
      <c r="A124" s="269"/>
      <c r="B124" s="290"/>
      <c r="C124" s="290"/>
      <c r="D124" s="290"/>
      <c r="E124" s="290"/>
      <c r="F124" s="290" t="s">
        <v>161</v>
      </c>
    </row>
    <row r="125" spans="1:6" s="241" customFormat="1" x14ac:dyDescent="0.25">
      <c r="A125" s="269"/>
      <c r="B125" s="290"/>
      <c r="C125" s="291"/>
      <c r="D125" s="290"/>
      <c r="E125" s="290"/>
      <c r="F125" s="290" t="s">
        <v>1046</v>
      </c>
    </row>
    <row r="126" spans="1:6" s="241" customFormat="1" x14ac:dyDescent="0.25">
      <c r="A126" s="269"/>
      <c r="B126" s="290"/>
      <c r="C126" s="291"/>
      <c r="D126" s="290"/>
      <c r="E126" s="290"/>
      <c r="F126" s="290" t="s">
        <v>801</v>
      </c>
    </row>
    <row r="127" spans="1:6" s="241" customFormat="1" x14ac:dyDescent="0.25">
      <c r="A127" s="269"/>
      <c r="B127" s="289"/>
      <c r="C127" s="291"/>
      <c r="D127" s="289"/>
      <c r="E127" s="289"/>
      <c r="F127" s="289" t="s">
        <v>1130</v>
      </c>
    </row>
    <row r="128" spans="1:6" s="241" customFormat="1" x14ac:dyDescent="0.25">
      <c r="A128" s="269"/>
      <c r="B128" s="289"/>
      <c r="C128" s="291"/>
      <c r="D128" s="289"/>
      <c r="E128" s="289"/>
      <c r="F128" s="289" t="s">
        <v>150</v>
      </c>
    </row>
    <row r="129" spans="1:6" s="241" customFormat="1" x14ac:dyDescent="0.25">
      <c r="A129" s="269"/>
      <c r="B129" s="289"/>
      <c r="C129" s="291"/>
      <c r="D129" s="289"/>
      <c r="E129" s="289"/>
      <c r="F129" s="289" t="s">
        <v>203</v>
      </c>
    </row>
    <row r="130" spans="1:6" s="241" customFormat="1" x14ac:dyDescent="0.25">
      <c r="A130" s="269"/>
      <c r="B130" s="289"/>
      <c r="C130" s="291"/>
      <c r="D130" s="289"/>
      <c r="E130" s="289"/>
      <c r="F130" s="289" t="s">
        <v>1580</v>
      </c>
    </row>
    <row r="131" spans="1:6" s="241" customFormat="1" x14ac:dyDescent="0.25">
      <c r="A131" s="269"/>
      <c r="B131" s="289"/>
      <c r="C131" s="291"/>
      <c r="D131" s="289"/>
      <c r="E131" s="289"/>
      <c r="F131" s="289" t="s">
        <v>1581</v>
      </c>
    </row>
    <row r="132" spans="1:6" s="241" customFormat="1" ht="17.25" customHeight="1" x14ac:dyDescent="0.25">
      <c r="A132" s="269"/>
      <c r="B132" s="289"/>
      <c r="C132" s="291"/>
      <c r="D132" s="289"/>
      <c r="E132" s="289"/>
      <c r="F132" s="289" t="s">
        <v>1568</v>
      </c>
    </row>
    <row r="133" spans="1:6" s="241" customFormat="1" ht="16.5" customHeight="1" x14ac:dyDescent="0.25">
      <c r="A133" s="281" t="s">
        <v>0</v>
      </c>
      <c r="B133" s="281" t="s">
        <v>4</v>
      </c>
      <c r="C133" s="281" t="s">
        <v>1</v>
      </c>
      <c r="D133" s="281" t="s">
        <v>2</v>
      </c>
      <c r="E133" s="281" t="s">
        <v>3</v>
      </c>
      <c r="F133" s="281" t="s">
        <v>25</v>
      </c>
    </row>
    <row r="134" spans="1:6" s="241" customFormat="1" x14ac:dyDescent="0.25">
      <c r="A134" s="269"/>
      <c r="B134" s="289"/>
      <c r="C134" s="291"/>
      <c r="D134" s="289"/>
      <c r="E134" s="289"/>
      <c r="F134" s="268"/>
    </row>
    <row r="135" spans="1:6" s="241" customFormat="1" x14ac:dyDescent="0.25">
      <c r="A135" s="269"/>
      <c r="B135" s="289"/>
      <c r="C135" s="291"/>
      <c r="D135" s="289"/>
      <c r="E135" s="289"/>
      <c r="F135" s="268"/>
    </row>
    <row r="136" spans="1:6" s="241" customFormat="1" x14ac:dyDescent="0.25">
      <c r="A136" s="269"/>
      <c r="B136" s="289"/>
      <c r="C136" s="291"/>
      <c r="D136" s="289"/>
      <c r="E136" s="289"/>
      <c r="F136" s="268"/>
    </row>
    <row r="137" spans="1:6" s="241" customFormat="1" x14ac:dyDescent="0.25">
      <c r="A137" s="269"/>
      <c r="B137" s="290"/>
      <c r="C137" s="290"/>
      <c r="D137" s="290"/>
      <c r="E137" s="290"/>
      <c r="F137" s="268"/>
    </row>
    <row r="138" spans="1:6" s="241" customFormat="1" x14ac:dyDescent="0.25">
      <c r="A138" s="269"/>
      <c r="B138" s="290"/>
      <c r="C138" s="291"/>
      <c r="D138" s="290"/>
      <c r="E138" s="290"/>
      <c r="F138" s="268"/>
    </row>
    <row r="139" spans="1:6" s="241" customFormat="1" x14ac:dyDescent="0.25">
      <c r="A139" s="269"/>
      <c r="B139" s="290"/>
      <c r="C139" s="291"/>
      <c r="D139" s="290"/>
      <c r="E139" s="290"/>
      <c r="F139" s="268"/>
    </row>
    <row r="140" spans="1:6" s="241" customFormat="1" x14ac:dyDescent="0.25">
      <c r="A140" s="269"/>
      <c r="B140" s="289"/>
      <c r="C140" s="291"/>
      <c r="D140" s="289"/>
      <c r="E140" s="289"/>
      <c r="F140" s="268"/>
    </row>
    <row r="141" spans="1:6" s="241" customFormat="1" x14ac:dyDescent="0.25">
      <c r="A141" s="269"/>
      <c r="B141" s="289"/>
      <c r="C141" s="291"/>
      <c r="D141" s="289"/>
      <c r="E141" s="289"/>
      <c r="F141" s="268"/>
    </row>
    <row r="142" spans="1:6" s="241" customFormat="1" x14ac:dyDescent="0.25">
      <c r="A142" s="269"/>
      <c r="B142" s="289"/>
      <c r="C142" s="291"/>
      <c r="D142" s="289"/>
      <c r="E142" s="289"/>
      <c r="F142" s="268"/>
    </row>
    <row r="143" spans="1:6" s="241" customFormat="1" x14ac:dyDescent="0.25">
      <c r="A143" s="269"/>
      <c r="B143" s="289"/>
      <c r="C143" s="291"/>
      <c r="D143" s="289"/>
      <c r="E143" s="289"/>
      <c r="F143" s="268"/>
    </row>
    <row r="144" spans="1:6" s="241" customFormat="1" x14ac:dyDescent="0.25">
      <c r="A144" s="269"/>
      <c r="B144" s="289"/>
      <c r="C144" s="291"/>
      <c r="D144" s="289"/>
      <c r="E144" s="289"/>
      <c r="F144" s="268"/>
    </row>
    <row r="145" spans="1:6" s="241" customFormat="1" ht="18" customHeight="1" x14ac:dyDescent="0.25">
      <c r="A145" s="269"/>
      <c r="B145" s="289"/>
      <c r="C145" s="291"/>
      <c r="D145" s="289"/>
      <c r="E145" s="289"/>
      <c r="F145" s="268"/>
    </row>
    <row r="146" spans="1:6" s="241" customFormat="1" ht="16.5" customHeight="1" x14ac:dyDescent="0.25">
      <c r="A146" s="281" t="s">
        <v>0</v>
      </c>
      <c r="B146" s="281" t="s">
        <v>4</v>
      </c>
      <c r="C146" s="281" t="s">
        <v>1</v>
      </c>
      <c r="D146" s="281" t="s">
        <v>2</v>
      </c>
      <c r="E146" s="281" t="s">
        <v>3</v>
      </c>
      <c r="F146" s="281" t="s">
        <v>25</v>
      </c>
    </row>
    <row r="147" spans="1:6" s="241" customFormat="1" x14ac:dyDescent="0.25">
      <c r="A147" s="269"/>
      <c r="B147" s="289"/>
      <c r="C147" s="289"/>
      <c r="D147" s="289"/>
      <c r="E147" s="289"/>
      <c r="F147" s="268"/>
    </row>
    <row r="148" spans="1:6" s="241" customFormat="1" x14ac:dyDescent="0.25">
      <c r="A148" s="269"/>
      <c r="B148" s="289"/>
      <c r="C148" s="289"/>
      <c r="D148" s="289"/>
      <c r="E148" s="289"/>
      <c r="F148" s="292"/>
    </row>
    <row r="149" spans="1:6" s="241" customFormat="1" x14ac:dyDescent="0.25">
      <c r="A149" s="269"/>
      <c r="B149" s="289"/>
      <c r="C149" s="289"/>
      <c r="D149" s="289"/>
      <c r="E149" s="289"/>
      <c r="F149" s="292"/>
    </row>
    <row r="150" spans="1:6" s="241" customFormat="1" x14ac:dyDescent="0.25">
      <c r="A150" s="269"/>
      <c r="B150" s="290"/>
      <c r="C150" s="290"/>
      <c r="D150" s="290"/>
      <c r="E150" s="290"/>
      <c r="F150" s="292"/>
    </row>
    <row r="151" spans="1:6" s="241" customFormat="1" x14ac:dyDescent="0.25">
      <c r="A151" s="269"/>
      <c r="B151" s="290"/>
      <c r="C151" s="290"/>
      <c r="D151" s="290"/>
      <c r="E151" s="290"/>
      <c r="F151" s="292"/>
    </row>
    <row r="152" spans="1:6" s="241" customFormat="1" x14ac:dyDescent="0.25">
      <c r="A152" s="269"/>
      <c r="B152" s="290"/>
      <c r="C152" s="290"/>
      <c r="D152" s="290"/>
      <c r="E152" s="290"/>
      <c r="F152" s="292"/>
    </row>
    <row r="153" spans="1:6" s="241" customFormat="1" x14ac:dyDescent="0.25">
      <c r="A153" s="269"/>
      <c r="B153" s="289"/>
      <c r="C153" s="289"/>
      <c r="D153" s="289"/>
      <c r="E153" s="289"/>
      <c r="F153" s="292"/>
    </row>
    <row r="154" spans="1:6" s="241" customFormat="1" x14ac:dyDescent="0.25">
      <c r="A154" s="269"/>
      <c r="B154" s="289"/>
      <c r="C154" s="289"/>
      <c r="D154" s="289"/>
      <c r="E154" s="289"/>
      <c r="F154" s="292"/>
    </row>
    <row r="155" spans="1:6" s="241" customFormat="1" x14ac:dyDescent="0.25">
      <c r="A155" s="269"/>
      <c r="B155" s="289"/>
      <c r="C155" s="289"/>
      <c r="D155" s="289"/>
      <c r="E155" s="289"/>
      <c r="F155" s="292"/>
    </row>
    <row r="156" spans="1:6" s="241" customFormat="1" x14ac:dyDescent="0.25">
      <c r="A156" s="269"/>
      <c r="B156" s="289"/>
      <c r="C156" s="289"/>
      <c r="D156" s="289"/>
      <c r="E156" s="289"/>
      <c r="F156" s="292"/>
    </row>
    <row r="157" spans="1:6" s="241" customFormat="1" x14ac:dyDescent="0.25">
      <c r="A157" s="269"/>
      <c r="B157" s="289"/>
      <c r="C157" s="289"/>
      <c r="D157" s="289"/>
      <c r="E157" s="289"/>
      <c r="F157" s="266"/>
    </row>
    <row r="158" spans="1:6" s="241" customFormat="1" ht="19.5" customHeight="1" x14ac:dyDescent="0.25">
      <c r="A158" s="269"/>
      <c r="B158" s="289"/>
      <c r="C158" s="289"/>
      <c r="D158" s="289"/>
      <c r="E158" s="289"/>
      <c r="F158" s="292"/>
    </row>
    <row r="159" spans="1:6" s="241" customFormat="1" ht="16.5" customHeight="1" x14ac:dyDescent="0.25">
      <c r="A159" s="281" t="s">
        <v>0</v>
      </c>
      <c r="B159" s="281" t="s">
        <v>4</v>
      </c>
      <c r="C159" s="281" t="s">
        <v>1</v>
      </c>
      <c r="D159" s="281" t="s">
        <v>2</v>
      </c>
      <c r="E159" s="281" t="s">
        <v>3</v>
      </c>
      <c r="F159" s="281" t="s">
        <v>25</v>
      </c>
    </row>
    <row r="160" spans="1:6" s="241" customFormat="1" x14ac:dyDescent="0.25">
      <c r="A160" s="269"/>
      <c r="B160" s="289"/>
      <c r="C160" s="289"/>
      <c r="D160" s="289"/>
      <c r="E160" s="289"/>
      <c r="F160" s="268"/>
    </row>
    <row r="161" spans="1:6" s="241" customFormat="1" x14ac:dyDescent="0.25">
      <c r="A161" s="269"/>
      <c r="B161" s="289"/>
      <c r="C161" s="289"/>
      <c r="D161" s="289"/>
      <c r="E161" s="289"/>
      <c r="F161" s="292"/>
    </row>
    <row r="162" spans="1:6" s="241" customFormat="1" x14ac:dyDescent="0.25">
      <c r="A162" s="269"/>
      <c r="B162" s="289"/>
      <c r="C162" s="289"/>
      <c r="D162" s="289"/>
      <c r="E162" s="289"/>
      <c r="F162" s="292"/>
    </row>
    <row r="163" spans="1:6" s="241" customFormat="1" x14ac:dyDescent="0.25">
      <c r="A163" s="269"/>
      <c r="B163" s="290"/>
      <c r="C163" s="290"/>
      <c r="D163" s="290"/>
      <c r="E163" s="290"/>
      <c r="F163" s="292"/>
    </row>
    <row r="164" spans="1:6" s="241" customFormat="1" x14ac:dyDescent="0.25">
      <c r="A164" s="269"/>
      <c r="B164" s="290"/>
      <c r="C164" s="290"/>
      <c r="D164" s="290"/>
      <c r="E164" s="290"/>
      <c r="F164" s="292"/>
    </row>
    <row r="165" spans="1:6" s="241" customFormat="1" x14ac:dyDescent="0.25">
      <c r="A165" s="269"/>
      <c r="B165" s="290"/>
      <c r="C165" s="290"/>
      <c r="D165" s="290"/>
      <c r="E165" s="290"/>
      <c r="F165" s="292"/>
    </row>
    <row r="166" spans="1:6" s="241" customFormat="1" x14ac:dyDescent="0.25">
      <c r="A166" s="269"/>
      <c r="B166" s="289"/>
      <c r="C166" s="289"/>
      <c r="D166" s="289"/>
      <c r="E166" s="289"/>
      <c r="F166" s="292"/>
    </row>
    <row r="167" spans="1:6" s="241" customFormat="1" x14ac:dyDescent="0.25">
      <c r="A167" s="269"/>
      <c r="B167" s="289"/>
      <c r="C167" s="289"/>
      <c r="D167" s="289"/>
      <c r="E167" s="289"/>
      <c r="F167" s="292"/>
    </row>
    <row r="168" spans="1:6" s="241" customFormat="1" x14ac:dyDescent="0.25">
      <c r="A168" s="269"/>
      <c r="B168" s="289"/>
      <c r="C168" s="289"/>
      <c r="D168" s="289"/>
      <c r="E168" s="289"/>
      <c r="F168" s="292"/>
    </row>
    <row r="169" spans="1:6" s="241" customFormat="1" x14ac:dyDescent="0.25">
      <c r="A169" s="269"/>
      <c r="B169" s="289"/>
      <c r="C169" s="289"/>
      <c r="D169" s="289"/>
      <c r="E169" s="289"/>
      <c r="F169" s="292"/>
    </row>
    <row r="170" spans="1:6" s="241" customFormat="1" x14ac:dyDescent="0.25">
      <c r="A170" s="269"/>
      <c r="B170" s="289"/>
      <c r="C170" s="289"/>
      <c r="D170" s="289"/>
      <c r="E170" s="289"/>
      <c r="F170" s="266"/>
    </row>
    <row r="171" spans="1:6" s="241" customFormat="1" x14ac:dyDescent="0.25">
      <c r="A171" s="269"/>
      <c r="B171" s="289"/>
      <c r="C171" s="289"/>
      <c r="D171" s="289"/>
      <c r="E171" s="289"/>
      <c r="F171" s="292"/>
    </row>
    <row r="172" spans="1:6" s="241" customFormat="1" ht="16.5" customHeight="1" x14ac:dyDescent="0.25">
      <c r="A172" s="281" t="s">
        <v>0</v>
      </c>
      <c r="B172" s="281" t="s">
        <v>4</v>
      </c>
      <c r="C172" s="281" t="s">
        <v>1</v>
      </c>
      <c r="D172" s="281" t="s">
        <v>2</v>
      </c>
      <c r="E172" s="281" t="s">
        <v>3</v>
      </c>
      <c r="F172" s="281" t="s">
        <v>25</v>
      </c>
    </row>
    <row r="173" spans="1:6" s="241" customFormat="1" x14ac:dyDescent="0.25">
      <c r="A173" s="269"/>
      <c r="B173" s="289"/>
      <c r="C173" s="269"/>
      <c r="D173" s="289"/>
      <c r="E173" s="268"/>
      <c r="F173" s="268"/>
    </row>
    <row r="174" spans="1:6" s="241" customFormat="1" x14ac:dyDescent="0.25">
      <c r="A174" s="269"/>
      <c r="B174" s="289"/>
      <c r="C174" s="269"/>
      <c r="D174" s="289"/>
      <c r="E174" s="268"/>
      <c r="F174" s="292"/>
    </row>
    <row r="175" spans="1:6" s="241" customFormat="1" x14ac:dyDescent="0.25">
      <c r="A175" s="269"/>
      <c r="B175" s="289"/>
      <c r="C175" s="269"/>
      <c r="D175" s="289"/>
      <c r="E175" s="268"/>
      <c r="F175" s="292"/>
    </row>
    <row r="176" spans="1:6" s="241" customFormat="1" x14ac:dyDescent="0.25">
      <c r="A176" s="269"/>
      <c r="B176" s="290"/>
      <c r="C176" s="269"/>
      <c r="D176" s="290"/>
      <c r="E176" s="268"/>
      <c r="F176" s="292"/>
    </row>
    <row r="177" spans="1:6" s="241" customFormat="1" x14ac:dyDescent="0.25">
      <c r="A177" s="269"/>
      <c r="B177" s="290"/>
      <c r="C177" s="269"/>
      <c r="D177" s="290"/>
      <c r="E177" s="268"/>
      <c r="F177" s="292"/>
    </row>
    <row r="178" spans="1:6" s="241" customFormat="1" x14ac:dyDescent="0.25">
      <c r="A178" s="269"/>
      <c r="B178" s="290"/>
      <c r="C178" s="269"/>
      <c r="D178" s="290"/>
      <c r="E178" s="268"/>
      <c r="F178" s="292"/>
    </row>
    <row r="179" spans="1:6" s="241" customFormat="1" x14ac:dyDescent="0.25">
      <c r="A179" s="269"/>
      <c r="B179" s="289"/>
      <c r="C179" s="269"/>
      <c r="D179" s="289"/>
      <c r="E179" s="268"/>
      <c r="F179" s="292"/>
    </row>
    <row r="180" spans="1:6" s="241" customFormat="1" x14ac:dyDescent="0.25">
      <c r="A180" s="269"/>
      <c r="B180" s="289"/>
      <c r="C180" s="269"/>
      <c r="D180" s="289"/>
      <c r="E180" s="268"/>
      <c r="F180" s="292"/>
    </row>
    <row r="181" spans="1:6" s="241" customFormat="1" x14ac:dyDescent="0.25">
      <c r="A181" s="269"/>
      <c r="B181" s="289"/>
      <c r="C181" s="269"/>
      <c r="D181" s="289"/>
      <c r="E181" s="268"/>
      <c r="F181" s="292"/>
    </row>
    <row r="182" spans="1:6" s="241" customFormat="1" x14ac:dyDescent="0.25">
      <c r="A182" s="269"/>
      <c r="B182" s="289"/>
      <c r="C182" s="269"/>
      <c r="D182" s="289"/>
      <c r="E182" s="268"/>
      <c r="F182" s="292"/>
    </row>
    <row r="183" spans="1:6" s="241" customFormat="1" x14ac:dyDescent="0.25">
      <c r="A183" s="269"/>
      <c r="B183" s="289"/>
      <c r="C183" s="269"/>
      <c r="D183" s="289"/>
      <c r="E183" s="268"/>
      <c r="F183" s="266"/>
    </row>
    <row r="184" spans="1:6" s="241" customFormat="1" x14ac:dyDescent="0.25">
      <c r="A184" s="269"/>
      <c r="B184" s="289"/>
      <c r="C184" s="269"/>
      <c r="D184" s="289"/>
      <c r="E184" s="268"/>
      <c r="F184" s="292"/>
    </row>
    <row r="185" spans="1:6" s="241" customFormat="1" ht="16.5" customHeight="1" x14ac:dyDescent="0.25">
      <c r="A185" s="281" t="s">
        <v>0</v>
      </c>
      <c r="B185" s="281" t="s">
        <v>4</v>
      </c>
      <c r="C185" s="281" t="s">
        <v>1</v>
      </c>
      <c r="D185" s="281" t="s">
        <v>2</v>
      </c>
      <c r="E185" s="281" t="s">
        <v>3</v>
      </c>
      <c r="F185" s="281" t="s">
        <v>25</v>
      </c>
    </row>
    <row r="186" spans="1:6" s="241" customFormat="1" x14ac:dyDescent="0.25">
      <c r="A186" s="269"/>
      <c r="B186" s="270"/>
      <c r="D186" s="270"/>
      <c r="E186" s="268"/>
      <c r="F186" s="268"/>
    </row>
    <row r="187" spans="1:6" s="241" customFormat="1" x14ac:dyDescent="0.25">
      <c r="A187" s="269"/>
      <c r="B187" s="270"/>
      <c r="D187" s="270"/>
      <c r="E187" s="268"/>
      <c r="F187" s="292"/>
    </row>
    <row r="188" spans="1:6" s="241" customFormat="1" x14ac:dyDescent="0.25">
      <c r="A188" s="269"/>
      <c r="B188" s="270"/>
      <c r="D188" s="270"/>
      <c r="E188" s="268"/>
      <c r="F188" s="292"/>
    </row>
    <row r="189" spans="1:6" s="241" customFormat="1" x14ac:dyDescent="0.25">
      <c r="A189" s="269"/>
      <c r="B189" s="270"/>
      <c r="D189" s="270"/>
      <c r="E189" s="268"/>
      <c r="F189" s="292"/>
    </row>
    <row r="190" spans="1:6" s="241" customFormat="1" x14ac:dyDescent="0.25">
      <c r="A190" s="269"/>
      <c r="B190" s="270"/>
      <c r="D190" s="270"/>
      <c r="E190" s="268"/>
      <c r="F190" s="292"/>
    </row>
    <row r="191" spans="1:6" s="241" customFormat="1" x14ac:dyDescent="0.25">
      <c r="A191" s="269"/>
      <c r="B191" s="270"/>
      <c r="D191" s="270"/>
      <c r="E191" s="268"/>
      <c r="F191" s="292"/>
    </row>
    <row r="192" spans="1:6" s="241" customFormat="1" x14ac:dyDescent="0.25">
      <c r="A192" s="269"/>
      <c r="B192" s="270"/>
      <c r="D192" s="270"/>
      <c r="E192" s="268"/>
      <c r="F192" s="292"/>
    </row>
    <row r="193" spans="1:6" s="241" customFormat="1" x14ac:dyDescent="0.25">
      <c r="A193" s="269"/>
      <c r="B193" s="270"/>
      <c r="D193" s="270"/>
      <c r="E193" s="268"/>
      <c r="F193" s="292"/>
    </row>
    <row r="194" spans="1:6" s="241" customFormat="1" x14ac:dyDescent="0.25">
      <c r="A194" s="269"/>
      <c r="B194" s="270"/>
      <c r="D194" s="270"/>
      <c r="E194" s="268"/>
      <c r="F194" s="292"/>
    </row>
    <row r="195" spans="1:6" s="241" customFormat="1" x14ac:dyDescent="0.25">
      <c r="A195" s="269"/>
      <c r="B195" s="270"/>
      <c r="D195" s="270"/>
      <c r="E195" s="268"/>
      <c r="F195" s="292"/>
    </row>
    <row r="196" spans="1:6" s="241" customFormat="1" x14ac:dyDescent="0.25">
      <c r="A196" s="269"/>
      <c r="B196" s="270"/>
      <c r="D196" s="270"/>
      <c r="E196" s="268"/>
      <c r="F196" s="266"/>
    </row>
    <row r="197" spans="1:6" s="241" customFormat="1" x14ac:dyDescent="0.25">
      <c r="A197" s="269"/>
      <c r="B197" s="270"/>
      <c r="D197" s="270"/>
      <c r="E197" s="268"/>
      <c r="F197" s="292"/>
    </row>
    <row r="198" spans="1:6" s="241" customFormat="1" ht="16.5" customHeight="1" x14ac:dyDescent="0.25">
      <c r="A198" s="281" t="s">
        <v>0</v>
      </c>
      <c r="B198" s="281" t="s">
        <v>4</v>
      </c>
      <c r="C198" s="281" t="s">
        <v>1</v>
      </c>
      <c r="D198" s="281" t="s">
        <v>2</v>
      </c>
      <c r="E198" s="281" t="s">
        <v>3</v>
      </c>
      <c r="F198" s="281" t="s">
        <v>25</v>
      </c>
    </row>
    <row r="199" spans="1:6" s="241" customFormat="1" x14ac:dyDescent="0.25">
      <c r="A199" s="269"/>
      <c r="B199" s="270"/>
      <c r="C199" s="269"/>
      <c r="D199" s="270"/>
      <c r="E199" s="268"/>
      <c r="F199" s="268"/>
    </row>
    <row r="200" spans="1:6" s="241" customFormat="1" x14ac:dyDescent="0.25">
      <c r="A200" s="269"/>
      <c r="B200" s="270"/>
      <c r="C200" s="269"/>
      <c r="D200" s="270"/>
      <c r="E200" s="268"/>
      <c r="F200" s="292"/>
    </row>
    <row r="201" spans="1:6" s="241" customFormat="1" x14ac:dyDescent="0.25">
      <c r="A201" s="269"/>
      <c r="B201" s="270"/>
      <c r="C201" s="269"/>
      <c r="D201" s="270"/>
      <c r="E201" s="268"/>
      <c r="F201" s="292"/>
    </row>
    <row r="202" spans="1:6" s="241" customFormat="1" x14ac:dyDescent="0.25">
      <c r="A202" s="269"/>
      <c r="B202" s="270"/>
      <c r="C202" s="269"/>
      <c r="D202" s="270"/>
      <c r="E202" s="268"/>
      <c r="F202" s="292"/>
    </row>
    <row r="203" spans="1:6" s="241" customFormat="1" x14ac:dyDescent="0.25">
      <c r="A203" s="269"/>
      <c r="B203" s="270"/>
      <c r="C203" s="269"/>
      <c r="D203" s="270"/>
      <c r="E203" s="268"/>
      <c r="F203" s="292"/>
    </row>
    <row r="204" spans="1:6" s="241" customFormat="1" x14ac:dyDescent="0.25">
      <c r="A204" s="269"/>
      <c r="B204" s="270"/>
      <c r="C204" s="269"/>
      <c r="D204" s="270"/>
      <c r="E204" s="268"/>
      <c r="F204" s="292"/>
    </row>
    <row r="205" spans="1:6" s="241" customFormat="1" x14ac:dyDescent="0.25">
      <c r="A205" s="269"/>
      <c r="B205" s="270"/>
      <c r="C205" s="269"/>
      <c r="D205" s="270"/>
      <c r="E205" s="268"/>
      <c r="F205" s="292"/>
    </row>
    <row r="206" spans="1:6" s="241" customFormat="1" x14ac:dyDescent="0.25">
      <c r="A206" s="269"/>
      <c r="B206" s="270"/>
      <c r="C206" s="269"/>
      <c r="D206" s="270"/>
      <c r="E206" s="268"/>
      <c r="F206" s="292"/>
    </row>
    <row r="207" spans="1:6" s="241" customFormat="1" x14ac:dyDescent="0.25">
      <c r="A207" s="269"/>
      <c r="B207" s="270"/>
      <c r="C207" s="269"/>
      <c r="D207" s="270"/>
      <c r="E207" s="268"/>
      <c r="F207" s="292"/>
    </row>
    <row r="208" spans="1:6" s="241" customFormat="1" x14ac:dyDescent="0.25">
      <c r="A208" s="269"/>
      <c r="B208" s="270"/>
      <c r="C208" s="269"/>
      <c r="D208" s="270"/>
      <c r="E208" s="268"/>
      <c r="F208" s="292"/>
    </row>
    <row r="209" spans="1:6" s="241" customFormat="1" x14ac:dyDescent="0.25">
      <c r="A209" s="269"/>
      <c r="B209" s="270"/>
      <c r="C209" s="269"/>
      <c r="D209" s="270"/>
      <c r="E209" s="268"/>
      <c r="F209" s="266"/>
    </row>
    <row r="210" spans="1:6" s="241" customFormat="1" x14ac:dyDescent="0.25">
      <c r="A210" s="269"/>
      <c r="B210" s="270"/>
      <c r="C210" s="269"/>
      <c r="D210" s="270"/>
      <c r="E210" s="268"/>
      <c r="F210" s="292"/>
    </row>
    <row r="211" spans="1:6" x14ac:dyDescent="0.25">
      <c r="A211" s="268"/>
      <c r="B211" s="268"/>
      <c r="C211" s="300"/>
      <c r="D211" s="268"/>
      <c r="E211" s="268"/>
      <c r="F211" s="268"/>
    </row>
    <row r="212" spans="1:6" x14ac:dyDescent="0.25">
      <c r="A212" s="268"/>
      <c r="B212" s="268"/>
      <c r="C212" s="300"/>
      <c r="D212" s="268"/>
      <c r="E212" s="268"/>
      <c r="F212" s="268"/>
    </row>
    <row r="213" spans="1:6" x14ac:dyDescent="0.25">
      <c r="A213" s="268"/>
      <c r="B213" s="268"/>
      <c r="C213" s="300"/>
      <c r="D213" s="268"/>
      <c r="E213" s="268"/>
      <c r="F213" s="268"/>
    </row>
    <row r="214" spans="1:6" x14ac:dyDescent="0.25">
      <c r="A214" s="268"/>
      <c r="B214" s="268"/>
      <c r="C214" s="300"/>
      <c r="D214" s="268"/>
      <c r="E214" s="268"/>
      <c r="F214" s="268"/>
    </row>
    <row r="215" spans="1:6" x14ac:dyDescent="0.25">
      <c r="A215" s="268"/>
      <c r="B215" s="268"/>
      <c r="C215" s="300"/>
      <c r="D215" s="268"/>
      <c r="E215" s="268"/>
      <c r="F215" s="268"/>
    </row>
    <row r="216" spans="1:6" x14ac:dyDescent="0.25">
      <c r="A216" s="268"/>
      <c r="B216" s="268"/>
      <c r="C216" s="300"/>
      <c r="D216" s="268"/>
      <c r="E216" s="268"/>
      <c r="F216" s="268"/>
    </row>
    <row r="217" spans="1:6" x14ac:dyDescent="0.25">
      <c r="A217" s="268"/>
      <c r="B217" s="268"/>
      <c r="C217" s="300"/>
      <c r="D217" s="268"/>
      <c r="E217" s="268"/>
      <c r="F217" s="268"/>
    </row>
    <row r="218" spans="1:6" x14ac:dyDescent="0.25">
      <c r="A218" s="268"/>
      <c r="B218" s="268"/>
      <c r="C218" s="300"/>
      <c r="D218" s="268"/>
      <c r="E218" s="268"/>
      <c r="F218" s="268"/>
    </row>
    <row r="219" spans="1:6" x14ac:dyDescent="0.25">
      <c r="A219" s="268"/>
      <c r="B219" s="268"/>
      <c r="C219" s="300"/>
      <c r="D219" s="268"/>
      <c r="E219" s="268"/>
      <c r="F219" s="268"/>
    </row>
    <row r="220" spans="1:6" x14ac:dyDescent="0.25">
      <c r="A220" s="268"/>
      <c r="B220" s="268"/>
      <c r="C220" s="300"/>
      <c r="D220" s="268"/>
      <c r="E220" s="268"/>
      <c r="F220" s="268"/>
    </row>
    <row r="221" spans="1:6" x14ac:dyDescent="0.25">
      <c r="A221" s="268"/>
      <c r="B221" s="268"/>
      <c r="C221" s="300"/>
      <c r="D221" s="268"/>
      <c r="E221" s="268"/>
      <c r="F221" s="268"/>
    </row>
    <row r="222" spans="1:6" x14ac:dyDescent="0.25">
      <c r="A222" s="268"/>
      <c r="B222" s="268"/>
      <c r="C222" s="300"/>
      <c r="D222" s="268"/>
      <c r="E222" s="268"/>
      <c r="F222" s="268"/>
    </row>
    <row r="223" spans="1:6" x14ac:dyDescent="0.25">
      <c r="A223" s="268"/>
      <c r="B223" s="268"/>
      <c r="C223" s="300"/>
      <c r="D223" s="268"/>
      <c r="E223" s="268"/>
      <c r="F223" s="268"/>
    </row>
    <row r="224" spans="1:6" x14ac:dyDescent="0.25">
      <c r="A224" s="268"/>
      <c r="B224" s="268"/>
      <c r="C224" s="300"/>
      <c r="D224" s="268"/>
      <c r="E224" s="268"/>
      <c r="F224" s="268"/>
    </row>
    <row r="225" spans="1:6" x14ac:dyDescent="0.25">
      <c r="A225" s="268"/>
      <c r="B225" s="268"/>
      <c r="C225" s="300"/>
      <c r="D225" s="268"/>
      <c r="E225" s="268"/>
      <c r="F225" s="268"/>
    </row>
    <row r="226" spans="1:6" x14ac:dyDescent="0.25">
      <c r="A226" s="268"/>
      <c r="B226" s="268"/>
      <c r="C226" s="300"/>
      <c r="D226" s="268"/>
      <c r="E226" s="268"/>
      <c r="F226" s="268"/>
    </row>
    <row r="227" spans="1:6" x14ac:dyDescent="0.25">
      <c r="A227" s="268"/>
      <c r="B227" s="268"/>
      <c r="C227" s="300"/>
      <c r="D227" s="268"/>
      <c r="E227" s="268"/>
      <c r="F227" s="268"/>
    </row>
  </sheetData>
  <pageMargins left="0.45" right="0" top="0.25" bottom="0" header="0" footer="0"/>
  <pageSetup paperSize="9" scale="60" orientation="landscape" r:id="rId1"/>
  <headerFooter>
    <oddFooter>Prepared by ie &amp;D&amp;RPage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Views>
    <sheetView zoomScaleNormal="100" workbookViewId="0">
      <selection activeCell="A12" sqref="A12"/>
    </sheetView>
  </sheetViews>
  <sheetFormatPr defaultRowHeight="15" x14ac:dyDescent="0.25"/>
  <cols>
    <col min="1" max="1" width="25.85546875" style="260" customWidth="1"/>
    <col min="2" max="2" width="25.85546875" customWidth="1"/>
    <col min="3" max="3" width="25.85546875" style="260" customWidth="1"/>
    <col min="4" max="5" width="25.85546875" customWidth="1"/>
    <col min="6" max="6" width="25.85546875" style="260" customWidth="1"/>
    <col min="7" max="8" width="25.85546875" customWidth="1"/>
    <col min="9" max="9" width="27.5703125" customWidth="1"/>
  </cols>
  <sheetData>
    <row r="1" spans="1:9" x14ac:dyDescent="0.25">
      <c r="A1" s="227" t="s">
        <v>178</v>
      </c>
      <c r="B1" s="228"/>
      <c r="C1" s="228"/>
      <c r="D1" s="229"/>
      <c r="E1" s="228"/>
      <c r="F1" s="228"/>
      <c r="G1" s="228"/>
      <c r="H1" s="230"/>
    </row>
    <row r="2" spans="1:9" x14ac:dyDescent="0.25">
      <c r="A2" s="227" t="s">
        <v>179</v>
      </c>
      <c r="B2" s="228"/>
      <c r="C2" s="228"/>
      <c r="D2" s="229"/>
      <c r="E2" s="228"/>
      <c r="F2" s="228"/>
      <c r="G2" s="228"/>
      <c r="H2" s="230"/>
    </row>
    <row r="3" spans="1:9" x14ac:dyDescent="0.25">
      <c r="A3" s="382" t="s">
        <v>180</v>
      </c>
      <c r="B3" s="231"/>
      <c r="C3" s="382"/>
      <c r="D3" s="229"/>
      <c r="E3" s="231"/>
      <c r="F3" s="382"/>
      <c r="G3" s="231"/>
      <c r="H3" s="230"/>
    </row>
    <row r="4" spans="1:9" x14ac:dyDescent="0.25">
      <c r="A4" s="284" t="s">
        <v>1367</v>
      </c>
      <c r="B4" s="282" t="s">
        <v>185</v>
      </c>
      <c r="C4" s="284" t="s">
        <v>841</v>
      </c>
      <c r="D4" s="284" t="s">
        <v>183</v>
      </c>
      <c r="E4" s="284" t="s">
        <v>1326</v>
      </c>
      <c r="F4" s="284" t="s">
        <v>1368</v>
      </c>
      <c r="G4" s="284" t="s">
        <v>188</v>
      </c>
      <c r="H4" s="284" t="s">
        <v>969</v>
      </c>
      <c r="I4" s="3"/>
    </row>
    <row r="5" spans="1:9" ht="15.75" customHeight="1" x14ac:dyDescent="0.25">
      <c r="A5" s="289" t="s">
        <v>1021</v>
      </c>
      <c r="B5" s="289" t="s">
        <v>957</v>
      </c>
      <c r="C5" s="293" t="s">
        <v>965</v>
      </c>
      <c r="D5" s="293" t="s">
        <v>1445</v>
      </c>
      <c r="E5" s="293" t="s">
        <v>949</v>
      </c>
      <c r="F5" s="289" t="s">
        <v>993</v>
      </c>
      <c r="G5" s="288"/>
      <c r="H5" s="293" t="s">
        <v>949</v>
      </c>
    </row>
    <row r="6" spans="1:9" ht="18.75" customHeight="1" x14ac:dyDescent="0.25">
      <c r="A6" s="289" t="s">
        <v>165</v>
      </c>
      <c r="B6" s="289" t="s">
        <v>148</v>
      </c>
      <c r="C6" s="293" t="s">
        <v>73</v>
      </c>
      <c r="D6" s="293" t="s">
        <v>1366</v>
      </c>
      <c r="E6" s="293" t="s">
        <v>73</v>
      </c>
      <c r="F6" s="289" t="s">
        <v>148</v>
      </c>
      <c r="G6" s="288"/>
      <c r="H6" s="293" t="s">
        <v>73</v>
      </c>
    </row>
    <row r="7" spans="1:9" ht="15.75" customHeight="1" x14ac:dyDescent="0.25">
      <c r="A7" s="289" t="s">
        <v>1680</v>
      </c>
      <c r="B7" s="289" t="s">
        <v>958</v>
      </c>
      <c r="C7" s="293" t="s">
        <v>1335</v>
      </c>
      <c r="D7" s="293" t="s">
        <v>1364</v>
      </c>
      <c r="E7" s="293" t="s">
        <v>1338</v>
      </c>
      <c r="F7" s="289" t="s">
        <v>1034</v>
      </c>
      <c r="G7" s="288"/>
      <c r="H7" s="293" t="s">
        <v>1337</v>
      </c>
    </row>
    <row r="8" spans="1:9" ht="15.75" customHeight="1" x14ac:dyDescent="0.25">
      <c r="A8" s="290" t="s">
        <v>219</v>
      </c>
      <c r="B8" s="290" t="s">
        <v>219</v>
      </c>
      <c r="C8" s="290" t="s">
        <v>219</v>
      </c>
      <c r="D8" s="293" t="s">
        <v>847</v>
      </c>
      <c r="E8" s="290" t="s">
        <v>219</v>
      </c>
      <c r="F8" s="290" t="s">
        <v>219</v>
      </c>
      <c r="G8" s="288"/>
      <c r="H8" s="290" t="s">
        <v>219</v>
      </c>
    </row>
    <row r="9" spans="1:9" ht="15.75" customHeight="1" x14ac:dyDescent="0.25">
      <c r="A9" s="290" t="s">
        <v>244</v>
      </c>
      <c r="B9" s="290" t="s">
        <v>1396</v>
      </c>
      <c r="C9" s="293" t="s">
        <v>1396</v>
      </c>
      <c r="D9" s="293" t="s">
        <v>846</v>
      </c>
      <c r="E9" s="293" t="s">
        <v>244</v>
      </c>
      <c r="F9" s="290" t="s">
        <v>244</v>
      </c>
      <c r="G9" s="288"/>
      <c r="H9" s="293" t="s">
        <v>244</v>
      </c>
    </row>
    <row r="10" spans="1:9" ht="15.75" customHeight="1" x14ac:dyDescent="0.25">
      <c r="A10" s="290" t="s">
        <v>463</v>
      </c>
      <c r="B10" s="290" t="s">
        <v>75</v>
      </c>
      <c r="C10" s="293" t="s">
        <v>801</v>
      </c>
      <c r="D10" s="293" t="s">
        <v>1443</v>
      </c>
      <c r="E10" s="293" t="s">
        <v>1419</v>
      </c>
      <c r="F10" s="290" t="s">
        <v>793</v>
      </c>
      <c r="G10" s="288"/>
      <c r="H10" s="293" t="s">
        <v>1419</v>
      </c>
    </row>
    <row r="11" spans="1:9" ht="15.75" customHeight="1" x14ac:dyDescent="0.25">
      <c r="A11" s="289" t="s">
        <v>1022</v>
      </c>
      <c r="B11" s="289" t="s">
        <v>480</v>
      </c>
      <c r="C11" s="293" t="s">
        <v>966</v>
      </c>
      <c r="D11" s="293" t="s">
        <v>1365</v>
      </c>
      <c r="E11" s="293" t="s">
        <v>950</v>
      </c>
      <c r="F11" s="289" t="s">
        <v>849</v>
      </c>
      <c r="G11" s="288"/>
      <c r="H11" s="293" t="s">
        <v>950</v>
      </c>
    </row>
    <row r="12" spans="1:9" ht="15.75" customHeight="1" x14ac:dyDescent="0.25">
      <c r="A12" s="289" t="s">
        <v>13</v>
      </c>
      <c r="B12" s="289" t="s">
        <v>15</v>
      </c>
      <c r="C12" s="293" t="s">
        <v>15</v>
      </c>
      <c r="D12" s="293" t="s">
        <v>13</v>
      </c>
      <c r="E12" s="293" t="s">
        <v>13</v>
      </c>
      <c r="F12" s="289" t="s">
        <v>13</v>
      </c>
      <c r="G12" s="288"/>
      <c r="H12" s="293" t="s">
        <v>13</v>
      </c>
    </row>
    <row r="13" spans="1:9" ht="15.75" customHeight="1" x14ac:dyDescent="0.25">
      <c r="A13" s="289" t="s">
        <v>205</v>
      </c>
      <c r="B13" s="289" t="s">
        <v>164</v>
      </c>
      <c r="C13" s="293" t="s">
        <v>164</v>
      </c>
      <c r="D13" s="293" t="s">
        <v>432</v>
      </c>
      <c r="E13" s="293" t="s">
        <v>164</v>
      </c>
      <c r="F13" s="289" t="s">
        <v>51</v>
      </c>
      <c r="G13" s="288"/>
      <c r="H13" s="293" t="s">
        <v>164</v>
      </c>
    </row>
    <row r="14" spans="1:9" ht="15.75" customHeight="1" x14ac:dyDescent="0.25">
      <c r="A14" s="289" t="s">
        <v>1086</v>
      </c>
      <c r="B14" s="289" t="s">
        <v>1029</v>
      </c>
      <c r="C14" s="293" t="s">
        <v>900</v>
      </c>
      <c r="D14" s="293" t="s">
        <v>934</v>
      </c>
      <c r="E14" s="293" t="s">
        <v>972</v>
      </c>
      <c r="F14" s="289" t="s">
        <v>939</v>
      </c>
      <c r="G14" s="288"/>
      <c r="H14" s="293" t="s">
        <v>905</v>
      </c>
    </row>
    <row r="15" spans="1:9" ht="15.75" customHeight="1" x14ac:dyDescent="0.25">
      <c r="A15" s="289" t="s">
        <v>996</v>
      </c>
      <c r="B15" s="289" t="s">
        <v>1010</v>
      </c>
      <c r="C15" s="293" t="s">
        <v>1444</v>
      </c>
      <c r="D15" s="293" t="s">
        <v>1336</v>
      </c>
      <c r="E15" s="293" t="s">
        <v>1375</v>
      </c>
      <c r="F15" s="289" t="s">
        <v>1340</v>
      </c>
      <c r="G15" s="288"/>
      <c r="H15" s="293" t="s">
        <v>1375</v>
      </c>
    </row>
    <row r="16" spans="1:9" ht="15.75" customHeight="1" x14ac:dyDescent="0.25">
      <c r="A16" s="289" t="s">
        <v>1023</v>
      </c>
      <c r="B16" s="289" t="s">
        <v>959</v>
      </c>
      <c r="C16" s="293" t="s">
        <v>967</v>
      </c>
      <c r="D16" s="293" t="s">
        <v>1363</v>
      </c>
      <c r="E16" s="293" t="s">
        <v>951</v>
      </c>
      <c r="F16" s="289" t="s">
        <v>1322</v>
      </c>
      <c r="G16" s="288"/>
      <c r="H16" s="293" t="s">
        <v>951</v>
      </c>
    </row>
    <row r="17" spans="1:8" ht="15.75" customHeight="1" x14ac:dyDescent="0.25">
      <c r="A17" s="284" t="s">
        <v>1323</v>
      </c>
      <c r="B17" s="284" t="s">
        <v>185</v>
      </c>
      <c r="C17" s="284" t="s">
        <v>841</v>
      </c>
      <c r="D17" s="284" t="s">
        <v>183</v>
      </c>
      <c r="E17" s="284" t="s">
        <v>187</v>
      </c>
      <c r="F17" s="284" t="s">
        <v>186</v>
      </c>
      <c r="G17" s="284" t="s">
        <v>188</v>
      </c>
      <c r="H17" s="284" t="s">
        <v>311</v>
      </c>
    </row>
    <row r="18" spans="1:8" ht="15.75" customHeight="1" x14ac:dyDescent="0.25">
      <c r="A18" s="289" t="s">
        <v>1211</v>
      </c>
      <c r="B18" s="289" t="s">
        <v>997</v>
      </c>
      <c r="C18" s="293" t="s">
        <v>1386</v>
      </c>
      <c r="D18" s="289" t="s">
        <v>907</v>
      </c>
      <c r="E18" s="293" t="s">
        <v>1231</v>
      </c>
      <c r="F18" s="289" t="s">
        <v>904</v>
      </c>
      <c r="G18" s="288"/>
      <c r="H18" s="293" t="s">
        <v>1214</v>
      </c>
    </row>
    <row r="19" spans="1:8" ht="15.75" customHeight="1" x14ac:dyDescent="0.25">
      <c r="A19" s="289" t="s">
        <v>165</v>
      </c>
      <c r="B19" s="289" t="s">
        <v>148</v>
      </c>
      <c r="C19" s="293" t="s">
        <v>73</v>
      </c>
      <c r="D19" s="289" t="s">
        <v>611</v>
      </c>
      <c r="E19" s="293" t="s">
        <v>73</v>
      </c>
      <c r="F19" s="289" t="s">
        <v>611</v>
      </c>
      <c r="G19" s="288"/>
      <c r="H19" s="293" t="s">
        <v>73</v>
      </c>
    </row>
    <row r="20" spans="1:8" ht="15.75" customHeight="1" x14ac:dyDescent="0.25">
      <c r="A20" s="289" t="s">
        <v>1213</v>
      </c>
      <c r="B20" s="289" t="s">
        <v>998</v>
      </c>
      <c r="C20" s="293" t="s">
        <v>919</v>
      </c>
      <c r="D20" s="289" t="s">
        <v>1682</v>
      </c>
      <c r="E20" s="293" t="s">
        <v>1234</v>
      </c>
      <c r="F20" s="289" t="s">
        <v>1679</v>
      </c>
      <c r="G20" s="288"/>
      <c r="H20" s="293" t="s">
        <v>1218</v>
      </c>
    </row>
    <row r="21" spans="1:8" ht="15.75" customHeight="1" x14ac:dyDescent="0.25">
      <c r="A21" s="290" t="s">
        <v>161</v>
      </c>
      <c r="B21" s="290" t="s">
        <v>161</v>
      </c>
      <c r="C21" s="290" t="s">
        <v>161</v>
      </c>
      <c r="D21" s="290" t="s">
        <v>219</v>
      </c>
      <c r="E21" s="290" t="s">
        <v>161</v>
      </c>
      <c r="F21" s="293" t="s">
        <v>219</v>
      </c>
      <c r="G21" s="288"/>
      <c r="H21" s="290" t="s">
        <v>161</v>
      </c>
    </row>
    <row r="22" spans="1:8" ht="15.75" customHeight="1" x14ac:dyDescent="0.25">
      <c r="A22" s="290" t="s">
        <v>31</v>
      </c>
      <c r="B22" s="290" t="s">
        <v>1060</v>
      </c>
      <c r="C22" s="293" t="s">
        <v>163</v>
      </c>
      <c r="D22" s="290" t="s">
        <v>1091</v>
      </c>
      <c r="E22" s="293" t="s">
        <v>163</v>
      </c>
      <c r="F22" s="290" t="s">
        <v>244</v>
      </c>
      <c r="G22" s="288"/>
      <c r="H22" s="293" t="s">
        <v>1182</v>
      </c>
    </row>
    <row r="23" spans="1:8" ht="15.75" customHeight="1" x14ac:dyDescent="0.25">
      <c r="A23" s="290" t="s">
        <v>75</v>
      </c>
      <c r="B23" s="290" t="s">
        <v>99</v>
      </c>
      <c r="C23" s="293" t="s">
        <v>673</v>
      </c>
      <c r="D23" s="290" t="s">
        <v>20</v>
      </c>
      <c r="E23" s="293" t="s">
        <v>1232</v>
      </c>
      <c r="F23" s="290" t="s">
        <v>75</v>
      </c>
      <c r="G23" s="288"/>
      <c r="H23" s="293" t="s">
        <v>1216</v>
      </c>
    </row>
    <row r="24" spans="1:8" ht="15.75" customHeight="1" x14ac:dyDescent="0.25">
      <c r="A24" s="289" t="s">
        <v>1212</v>
      </c>
      <c r="B24" s="289" t="s">
        <v>849</v>
      </c>
      <c r="C24" s="293" t="s">
        <v>742</v>
      </c>
      <c r="D24" s="289" t="s">
        <v>377</v>
      </c>
      <c r="E24" s="293" t="s">
        <v>950</v>
      </c>
      <c r="F24" s="289" t="s">
        <v>849</v>
      </c>
      <c r="G24" s="288"/>
      <c r="H24" s="293" t="s">
        <v>1217</v>
      </c>
    </row>
    <row r="25" spans="1:8" ht="15.75" customHeight="1" x14ac:dyDescent="0.25">
      <c r="A25" s="289" t="s">
        <v>15</v>
      </c>
      <c r="B25" s="289" t="s">
        <v>162</v>
      </c>
      <c r="C25" s="293" t="s">
        <v>13</v>
      </c>
      <c r="D25" s="289" t="s">
        <v>162</v>
      </c>
      <c r="E25" s="293" t="s">
        <v>13</v>
      </c>
      <c r="F25" s="289" t="s">
        <v>13</v>
      </c>
      <c r="G25" s="288"/>
      <c r="H25" s="293" t="s">
        <v>523</v>
      </c>
    </row>
    <row r="26" spans="1:8" ht="15.75" customHeight="1" x14ac:dyDescent="0.25">
      <c r="A26" s="289" t="s">
        <v>51</v>
      </c>
      <c r="B26" s="289" t="s">
        <v>164</v>
      </c>
      <c r="C26" s="293" t="s">
        <v>205</v>
      </c>
      <c r="D26" s="289" t="s">
        <v>164</v>
      </c>
      <c r="E26" s="293" t="s">
        <v>205</v>
      </c>
      <c r="F26" s="289" t="s">
        <v>164</v>
      </c>
      <c r="G26" s="288"/>
      <c r="H26" s="293" t="s">
        <v>164</v>
      </c>
    </row>
    <row r="27" spans="1:8" ht="15.75" customHeight="1" x14ac:dyDescent="0.25">
      <c r="A27" s="289" t="s">
        <v>1174</v>
      </c>
      <c r="B27" s="289" t="s">
        <v>1059</v>
      </c>
      <c r="C27" s="293" t="s">
        <v>974</v>
      </c>
      <c r="D27" s="289" t="s">
        <v>983</v>
      </c>
      <c r="E27" s="293" t="s">
        <v>1124</v>
      </c>
      <c r="F27" s="289" t="s">
        <v>1086</v>
      </c>
      <c r="G27" s="288"/>
      <c r="H27" s="293" t="s">
        <v>1124</v>
      </c>
    </row>
    <row r="28" spans="1:8" ht="15.75" customHeight="1" x14ac:dyDescent="0.25">
      <c r="A28" s="289" t="s">
        <v>1442</v>
      </c>
      <c r="B28" s="289" t="s">
        <v>1042</v>
      </c>
      <c r="C28" s="293" t="s">
        <v>1455</v>
      </c>
      <c r="D28" s="289" t="s">
        <v>943</v>
      </c>
      <c r="E28" s="293" t="s">
        <v>1233</v>
      </c>
      <c r="F28" s="289" t="s">
        <v>943</v>
      </c>
      <c r="G28" s="288"/>
      <c r="H28" s="293" t="s">
        <v>1219</v>
      </c>
    </row>
    <row r="29" spans="1:8" ht="15.75" customHeight="1" x14ac:dyDescent="0.25">
      <c r="A29" s="289" t="s">
        <v>1432</v>
      </c>
      <c r="B29" s="731" t="s">
        <v>977</v>
      </c>
      <c r="C29" s="293" t="s">
        <v>982</v>
      </c>
      <c r="D29" s="289" t="s">
        <v>1369</v>
      </c>
      <c r="E29" s="293" t="s">
        <v>1115</v>
      </c>
      <c r="F29" s="289" t="s">
        <v>1431</v>
      </c>
      <c r="G29" s="288"/>
      <c r="H29" s="293" t="s">
        <v>1215</v>
      </c>
    </row>
    <row r="30" spans="1:8" ht="15.75" customHeight="1" x14ac:dyDescent="0.25">
      <c r="A30" s="284" t="s">
        <v>181</v>
      </c>
      <c r="B30" s="284" t="s">
        <v>185</v>
      </c>
      <c r="C30" s="284" t="s">
        <v>841</v>
      </c>
      <c r="D30" s="284" t="s">
        <v>183</v>
      </c>
      <c r="E30" s="284" t="s">
        <v>187</v>
      </c>
      <c r="F30" s="284" t="s">
        <v>1368</v>
      </c>
      <c r="G30" s="284" t="s">
        <v>188</v>
      </c>
      <c r="H30" s="284" t="s">
        <v>311</v>
      </c>
    </row>
    <row r="31" spans="1:8" ht="15.75" customHeight="1" x14ac:dyDescent="0.25">
      <c r="A31" s="289" t="s">
        <v>1239</v>
      </c>
      <c r="B31" s="293" t="s">
        <v>692</v>
      </c>
      <c r="C31" s="289" t="s">
        <v>1125</v>
      </c>
      <c r="D31" s="295" t="s">
        <v>850</v>
      </c>
      <c r="E31" s="293" t="s">
        <v>1788</v>
      </c>
      <c r="F31" s="289" t="s">
        <v>1021</v>
      </c>
      <c r="G31" s="288"/>
      <c r="H31" s="293" t="s">
        <v>1214</v>
      </c>
    </row>
    <row r="32" spans="1:8" ht="15.75" customHeight="1" x14ac:dyDescent="0.25">
      <c r="A32" s="289" t="s">
        <v>148</v>
      </c>
      <c r="B32" s="293" t="s">
        <v>691</v>
      </c>
      <c r="C32" s="289" t="s">
        <v>611</v>
      </c>
      <c r="D32" s="294" t="s">
        <v>73</v>
      </c>
      <c r="E32" s="293" t="s">
        <v>73</v>
      </c>
      <c r="F32" s="289" t="s">
        <v>165</v>
      </c>
      <c r="G32" s="288"/>
      <c r="H32" s="293" t="s">
        <v>73</v>
      </c>
    </row>
    <row r="33" spans="1:9" ht="15.75" customHeight="1" x14ac:dyDescent="0.25">
      <c r="A33" s="289" t="s">
        <v>1240</v>
      </c>
      <c r="B33" s="293" t="s">
        <v>919</v>
      </c>
      <c r="C33" s="289" t="s">
        <v>1126</v>
      </c>
      <c r="D33" s="289" t="s">
        <v>1299</v>
      </c>
      <c r="E33" s="293" t="s">
        <v>1789</v>
      </c>
      <c r="F33" s="289" t="s">
        <v>1681</v>
      </c>
      <c r="G33" s="288"/>
      <c r="H33" s="293" t="s">
        <v>1637</v>
      </c>
    </row>
    <row r="34" spans="1:9" ht="15.75" customHeight="1" x14ac:dyDescent="0.25">
      <c r="A34" s="290" t="s">
        <v>161</v>
      </c>
      <c r="B34" s="293" t="s">
        <v>41</v>
      </c>
      <c r="C34" s="293" t="s">
        <v>41</v>
      </c>
      <c r="D34" s="290" t="s">
        <v>161</v>
      </c>
      <c r="E34" s="290" t="s">
        <v>161</v>
      </c>
      <c r="F34" s="290" t="s">
        <v>161</v>
      </c>
      <c r="G34" s="288"/>
      <c r="H34" s="290" t="s">
        <v>161</v>
      </c>
    </row>
    <row r="35" spans="1:9" ht="15.75" customHeight="1" x14ac:dyDescent="0.25">
      <c r="A35" s="290" t="s">
        <v>1019</v>
      </c>
      <c r="B35" s="290" t="s">
        <v>31</v>
      </c>
      <c r="C35" s="290" t="s">
        <v>163</v>
      </c>
      <c r="D35" s="293" t="s">
        <v>1046</v>
      </c>
      <c r="E35" s="293" t="s">
        <v>31</v>
      </c>
      <c r="F35" s="290" t="s">
        <v>163</v>
      </c>
      <c r="G35" s="288"/>
      <c r="H35" s="293" t="s">
        <v>1182</v>
      </c>
    </row>
    <row r="36" spans="1:9" ht="15.75" customHeight="1" x14ac:dyDescent="0.25">
      <c r="A36" s="290" t="s">
        <v>1241</v>
      </c>
      <c r="B36" s="293" t="s">
        <v>693</v>
      </c>
      <c r="C36" s="290" t="s">
        <v>801</v>
      </c>
      <c r="D36" s="293" t="s">
        <v>453</v>
      </c>
      <c r="E36" s="293" t="s">
        <v>1443</v>
      </c>
      <c r="F36" s="290" t="s">
        <v>298</v>
      </c>
      <c r="G36" s="288"/>
      <c r="H36" s="293" t="s">
        <v>1216</v>
      </c>
    </row>
    <row r="37" spans="1:9" ht="15.75" customHeight="1" x14ac:dyDescent="0.25">
      <c r="A37" s="289" t="s">
        <v>1237</v>
      </c>
      <c r="B37" s="293" t="s">
        <v>504</v>
      </c>
      <c r="C37" s="289" t="s">
        <v>147</v>
      </c>
      <c r="D37" s="294" t="s">
        <v>684</v>
      </c>
      <c r="E37" s="293" t="s">
        <v>1790</v>
      </c>
      <c r="F37" s="289" t="s">
        <v>1022</v>
      </c>
      <c r="G37" s="288"/>
      <c r="H37" s="293" t="s">
        <v>1217</v>
      </c>
    </row>
    <row r="38" spans="1:9" ht="15.75" customHeight="1" x14ac:dyDescent="0.25">
      <c r="A38" s="289" t="s">
        <v>14</v>
      </c>
      <c r="B38" s="293" t="s">
        <v>15</v>
      </c>
      <c r="C38" s="289" t="s">
        <v>13</v>
      </c>
      <c r="D38" s="294" t="s">
        <v>150</v>
      </c>
      <c r="E38" s="293" t="s">
        <v>15</v>
      </c>
      <c r="F38" s="289" t="s">
        <v>13</v>
      </c>
      <c r="G38" s="288"/>
      <c r="H38" s="293" t="s">
        <v>523</v>
      </c>
    </row>
    <row r="39" spans="1:9" ht="15.75" customHeight="1" x14ac:dyDescent="0.25">
      <c r="A39" s="289" t="s">
        <v>203</v>
      </c>
      <c r="B39" s="293" t="s">
        <v>432</v>
      </c>
      <c r="C39" s="289" t="s">
        <v>164</v>
      </c>
      <c r="D39" s="294" t="s">
        <v>205</v>
      </c>
      <c r="E39" s="293" t="s">
        <v>205</v>
      </c>
      <c r="F39" s="289" t="s">
        <v>205</v>
      </c>
      <c r="G39" s="288"/>
      <c r="H39" s="293" t="s">
        <v>164</v>
      </c>
    </row>
    <row r="40" spans="1:9" ht="15.75" customHeight="1" x14ac:dyDescent="0.25">
      <c r="A40" s="289" t="s">
        <v>1469</v>
      </c>
      <c r="B40" s="293" t="s">
        <v>1109</v>
      </c>
      <c r="C40" s="289" t="s">
        <v>1044</v>
      </c>
      <c r="D40" s="289" t="s">
        <v>1044</v>
      </c>
      <c r="E40" s="293" t="s">
        <v>1267</v>
      </c>
      <c r="F40" s="289" t="s">
        <v>974</v>
      </c>
      <c r="G40" s="288"/>
      <c r="H40" s="293" t="s">
        <v>1612</v>
      </c>
    </row>
    <row r="41" spans="1:9" ht="15.75" customHeight="1" x14ac:dyDescent="0.25">
      <c r="A41" s="289" t="s">
        <v>1470</v>
      </c>
      <c r="B41" s="293" t="s">
        <v>1683</v>
      </c>
      <c r="C41" s="289" t="s">
        <v>1465</v>
      </c>
      <c r="D41" s="295" t="s">
        <v>1075</v>
      </c>
      <c r="E41" s="293" t="s">
        <v>1791</v>
      </c>
      <c r="F41" s="289" t="s">
        <v>1014</v>
      </c>
      <c r="G41" s="288"/>
      <c r="H41" s="293" t="s">
        <v>1688</v>
      </c>
    </row>
    <row r="42" spans="1:9" ht="15.75" customHeight="1" x14ac:dyDescent="0.25">
      <c r="A42" s="289" t="s">
        <v>1209</v>
      </c>
      <c r="B42" s="293" t="s">
        <v>1110</v>
      </c>
      <c r="C42" s="289" t="s">
        <v>1127</v>
      </c>
      <c r="D42" s="294" t="s">
        <v>1101</v>
      </c>
      <c r="E42" s="293" t="s">
        <v>1792</v>
      </c>
      <c r="F42" s="289" t="s">
        <v>1023</v>
      </c>
      <c r="G42" s="288"/>
      <c r="H42" s="293" t="s">
        <v>1636</v>
      </c>
    </row>
    <row r="43" spans="1:9" ht="15.75" customHeight="1" x14ac:dyDescent="0.25">
      <c r="A43" s="284" t="s">
        <v>186</v>
      </c>
      <c r="B43" s="284" t="s">
        <v>185</v>
      </c>
      <c r="C43" s="284" t="s">
        <v>1199</v>
      </c>
      <c r="D43" s="284" t="s">
        <v>183</v>
      </c>
      <c r="E43" s="284" t="s">
        <v>187</v>
      </c>
      <c r="F43" s="284" t="s">
        <v>1467</v>
      </c>
      <c r="G43" s="284" t="s">
        <v>188</v>
      </c>
      <c r="H43" s="284" t="s">
        <v>184</v>
      </c>
    </row>
    <row r="44" spans="1:9" ht="15.75" customHeight="1" x14ac:dyDescent="0.25">
      <c r="A44" s="289" t="s">
        <v>836</v>
      </c>
      <c r="B44" s="289" t="s">
        <v>1268</v>
      </c>
      <c r="C44" s="289" t="s">
        <v>1193</v>
      </c>
      <c r="D44" s="295" t="s">
        <v>1068</v>
      </c>
      <c r="E44" s="293"/>
      <c r="F44" s="293" t="s">
        <v>1373</v>
      </c>
      <c r="G44" s="288"/>
      <c r="H44" s="293"/>
      <c r="I44" s="260"/>
    </row>
    <row r="45" spans="1:9" ht="15.75" customHeight="1" x14ac:dyDescent="0.25">
      <c r="A45" s="289" t="s">
        <v>165</v>
      </c>
      <c r="B45" s="289" t="s">
        <v>148</v>
      </c>
      <c r="C45" s="289" t="s">
        <v>148</v>
      </c>
      <c r="D45" s="294" t="s">
        <v>73</v>
      </c>
      <c r="E45" s="293"/>
      <c r="F45" s="293" t="s">
        <v>73</v>
      </c>
      <c r="G45" s="288"/>
      <c r="H45" s="281"/>
      <c r="I45" s="260"/>
    </row>
    <row r="46" spans="1:9" ht="15.75" customHeight="1" x14ac:dyDescent="0.25">
      <c r="A46" s="289" t="s">
        <v>902</v>
      </c>
      <c r="B46" s="289" t="s">
        <v>894</v>
      </c>
      <c r="C46" s="289" t="s">
        <v>1194</v>
      </c>
      <c r="D46" s="289" t="s">
        <v>1301</v>
      </c>
      <c r="E46" s="293"/>
      <c r="F46" s="291" t="s">
        <v>1463</v>
      </c>
      <c r="G46" s="288"/>
      <c r="H46" s="283"/>
      <c r="I46" s="260"/>
    </row>
    <row r="47" spans="1:9" ht="15.75" customHeight="1" x14ac:dyDescent="0.25">
      <c r="A47" s="290" t="s">
        <v>161</v>
      </c>
      <c r="B47" s="290" t="s">
        <v>161</v>
      </c>
      <c r="C47" s="290" t="s">
        <v>161</v>
      </c>
      <c r="D47" s="290" t="s">
        <v>161</v>
      </c>
      <c r="E47" s="280"/>
      <c r="F47" s="293" t="s">
        <v>41</v>
      </c>
      <c r="G47" s="288"/>
      <c r="H47" s="283"/>
      <c r="I47" s="260"/>
    </row>
    <row r="48" spans="1:9" ht="15.75" customHeight="1" x14ac:dyDescent="0.25">
      <c r="A48" s="290" t="s">
        <v>1079</v>
      </c>
      <c r="B48" s="290" t="s">
        <v>163</v>
      </c>
      <c r="C48" s="290" t="s">
        <v>1046</v>
      </c>
      <c r="D48" s="293" t="s">
        <v>31</v>
      </c>
      <c r="E48" s="293"/>
      <c r="F48" s="293" t="s">
        <v>31</v>
      </c>
      <c r="G48" s="288"/>
      <c r="H48" s="283"/>
      <c r="I48" s="260"/>
    </row>
    <row r="49" spans="1:9" ht="15.75" customHeight="1" x14ac:dyDescent="0.25">
      <c r="A49" s="290" t="s">
        <v>673</v>
      </c>
      <c r="B49" s="290" t="s">
        <v>479</v>
      </c>
      <c r="C49" s="290" t="s">
        <v>20</v>
      </c>
      <c r="D49" s="293" t="s">
        <v>50</v>
      </c>
      <c r="E49" s="293"/>
      <c r="F49" s="293" t="s">
        <v>1456</v>
      </c>
      <c r="G49" s="288"/>
      <c r="H49" s="283"/>
      <c r="I49" s="260"/>
    </row>
    <row r="50" spans="1:9" ht="15.75" customHeight="1" x14ac:dyDescent="0.25">
      <c r="A50" s="289" t="s">
        <v>683</v>
      </c>
      <c r="B50" s="289" t="s">
        <v>147</v>
      </c>
      <c r="C50" s="289" t="s">
        <v>147</v>
      </c>
      <c r="D50" s="294" t="s">
        <v>884</v>
      </c>
      <c r="E50" s="293"/>
      <c r="F50" s="293" t="s">
        <v>979</v>
      </c>
      <c r="G50" s="288"/>
      <c r="H50" s="285"/>
      <c r="I50" s="260"/>
    </row>
    <row r="51" spans="1:9" ht="15.75" customHeight="1" x14ac:dyDescent="0.25">
      <c r="A51" s="289" t="s">
        <v>1082</v>
      </c>
      <c r="B51" s="289" t="s">
        <v>13</v>
      </c>
      <c r="C51" s="289" t="s">
        <v>150</v>
      </c>
      <c r="D51" s="294" t="s">
        <v>15</v>
      </c>
      <c r="E51" s="293"/>
      <c r="F51" s="293" t="s">
        <v>15</v>
      </c>
      <c r="G51" s="288"/>
      <c r="H51" s="285"/>
      <c r="I51" s="260"/>
    </row>
    <row r="52" spans="1:9" ht="15.75" customHeight="1" x14ac:dyDescent="0.25">
      <c r="A52" s="289" t="s">
        <v>203</v>
      </c>
      <c r="B52" s="289" t="s">
        <v>203</v>
      </c>
      <c r="C52" s="289" t="s">
        <v>203</v>
      </c>
      <c r="D52" s="294" t="s">
        <v>1071</v>
      </c>
      <c r="E52" s="293"/>
      <c r="F52" s="293" t="s">
        <v>51</v>
      </c>
      <c r="G52" s="288"/>
      <c r="H52" s="285"/>
      <c r="I52" s="260"/>
    </row>
    <row r="53" spans="1:9" ht="15.75" customHeight="1" x14ac:dyDescent="0.25">
      <c r="A53" s="289" t="s">
        <v>1546</v>
      </c>
      <c r="B53" s="289" t="s">
        <v>1684</v>
      </c>
      <c r="C53" s="289" t="s">
        <v>1466</v>
      </c>
      <c r="D53" s="289" t="s">
        <v>1083</v>
      </c>
      <c r="E53" s="293"/>
      <c r="F53" s="293" t="s">
        <v>1116</v>
      </c>
      <c r="G53" s="288"/>
      <c r="H53" s="285"/>
      <c r="I53" s="260"/>
    </row>
    <row r="54" spans="1:9" ht="15.75" customHeight="1" x14ac:dyDescent="0.25">
      <c r="A54" s="289" t="s">
        <v>1745</v>
      </c>
      <c r="B54" s="289" t="s">
        <v>1265</v>
      </c>
      <c r="C54" s="289" t="s">
        <v>1229</v>
      </c>
      <c r="D54" s="295" t="s">
        <v>1072</v>
      </c>
      <c r="E54" s="293"/>
      <c r="F54" s="293" t="s">
        <v>1468</v>
      </c>
      <c r="G54" s="288"/>
      <c r="H54" s="285"/>
      <c r="I54" s="260"/>
    </row>
    <row r="55" spans="1:9" ht="15.75" customHeight="1" x14ac:dyDescent="0.25">
      <c r="A55" s="289" t="s">
        <v>1793</v>
      </c>
      <c r="B55" s="289" t="s">
        <v>1209</v>
      </c>
      <c r="C55" s="289" t="s">
        <v>1195</v>
      </c>
      <c r="D55" s="294" t="s">
        <v>1084</v>
      </c>
      <c r="E55" s="293"/>
      <c r="F55" s="293" t="s">
        <v>1376</v>
      </c>
      <c r="G55" s="288"/>
      <c r="H55" s="285"/>
      <c r="I55" s="260"/>
    </row>
    <row r="56" spans="1:9" ht="15.75" customHeight="1" x14ac:dyDescent="0.25">
      <c r="A56" s="284" t="s">
        <v>186</v>
      </c>
      <c r="B56" s="284" t="s">
        <v>185</v>
      </c>
      <c r="C56" s="284" t="s">
        <v>841</v>
      </c>
      <c r="D56" s="284" t="s">
        <v>183</v>
      </c>
      <c r="E56" s="284" t="s">
        <v>187</v>
      </c>
      <c r="F56" s="284" t="s">
        <v>186</v>
      </c>
      <c r="G56" s="284" t="s">
        <v>188</v>
      </c>
      <c r="H56" s="284" t="s">
        <v>184</v>
      </c>
      <c r="I56" s="260"/>
    </row>
    <row r="57" spans="1:9" ht="15.75" customHeight="1" x14ac:dyDescent="0.25">
      <c r="A57" s="289" t="s">
        <v>836</v>
      </c>
      <c r="B57" s="289" t="s">
        <v>1269</v>
      </c>
      <c r="C57" s="289" t="s">
        <v>1210</v>
      </c>
      <c r="D57" s="289" t="s">
        <v>741</v>
      </c>
      <c r="E57" s="293"/>
      <c r="F57" s="289" t="s">
        <v>1235</v>
      </c>
      <c r="G57" s="289"/>
      <c r="H57" s="293"/>
      <c r="I57" s="260"/>
    </row>
    <row r="58" spans="1:9" ht="15.75" customHeight="1" x14ac:dyDescent="0.25">
      <c r="A58" s="289" t="s">
        <v>165</v>
      </c>
      <c r="B58" s="289" t="s">
        <v>148</v>
      </c>
      <c r="C58" s="289" t="s">
        <v>148</v>
      </c>
      <c r="D58" s="289" t="s">
        <v>165</v>
      </c>
      <c r="E58" s="293"/>
      <c r="F58" s="289" t="s">
        <v>148</v>
      </c>
      <c r="G58" s="289"/>
      <c r="H58" s="281"/>
    </row>
    <row r="59" spans="1:9" ht="15.75" customHeight="1" x14ac:dyDescent="0.25">
      <c r="A59" s="289" t="s">
        <v>886</v>
      </c>
      <c r="B59" s="289" t="s">
        <v>921</v>
      </c>
      <c r="C59" s="289" t="s">
        <v>886</v>
      </c>
      <c r="D59" s="289" t="s">
        <v>1716</v>
      </c>
      <c r="E59" s="293"/>
      <c r="F59" s="289" t="s">
        <v>1236</v>
      </c>
      <c r="G59" s="289"/>
      <c r="H59" s="283"/>
    </row>
    <row r="60" spans="1:9" ht="15.75" customHeight="1" x14ac:dyDescent="0.25">
      <c r="A60" s="290" t="s">
        <v>161</v>
      </c>
      <c r="B60" s="290" t="s">
        <v>161</v>
      </c>
      <c r="C60" s="290" t="s">
        <v>161</v>
      </c>
      <c r="D60" s="293" t="s">
        <v>161</v>
      </c>
      <c r="E60" s="280"/>
      <c r="F60" s="290" t="s">
        <v>161</v>
      </c>
      <c r="G60" s="290"/>
      <c r="H60" s="283"/>
    </row>
    <row r="61" spans="1:9" ht="15.75" customHeight="1" x14ac:dyDescent="0.25">
      <c r="A61" s="290" t="s">
        <v>1079</v>
      </c>
      <c r="B61" s="290" t="s">
        <v>163</v>
      </c>
      <c r="C61" s="290" t="s">
        <v>1046</v>
      </c>
      <c r="D61" s="290" t="s">
        <v>163</v>
      </c>
      <c r="E61" s="293"/>
      <c r="F61" s="290" t="s">
        <v>1019</v>
      </c>
      <c r="G61" s="290"/>
      <c r="H61" s="283"/>
    </row>
    <row r="62" spans="1:9" ht="15.75" customHeight="1" x14ac:dyDescent="0.25">
      <c r="A62" s="290" t="s">
        <v>673</v>
      </c>
      <c r="B62" s="290" t="s">
        <v>479</v>
      </c>
      <c r="C62" s="290" t="s">
        <v>20</v>
      </c>
      <c r="D62" s="290" t="s">
        <v>479</v>
      </c>
      <c r="E62" s="293"/>
      <c r="F62" s="290" t="s">
        <v>298</v>
      </c>
      <c r="G62" s="290"/>
      <c r="H62" s="283"/>
    </row>
    <row r="63" spans="1:9" ht="15.75" customHeight="1" x14ac:dyDescent="0.25">
      <c r="A63" s="289" t="s">
        <v>683</v>
      </c>
      <c r="B63" s="289" t="s">
        <v>147</v>
      </c>
      <c r="C63" s="289" t="s">
        <v>147</v>
      </c>
      <c r="D63" s="289" t="s">
        <v>508</v>
      </c>
      <c r="E63" s="293"/>
      <c r="F63" s="289" t="s">
        <v>1237</v>
      </c>
      <c r="G63" s="289"/>
      <c r="H63" s="285"/>
    </row>
    <row r="64" spans="1:9" ht="15.75" customHeight="1" x14ac:dyDescent="0.25">
      <c r="A64" s="289" t="s">
        <v>1082</v>
      </c>
      <c r="B64" s="289" t="s">
        <v>13</v>
      </c>
      <c r="C64" s="289" t="s">
        <v>150</v>
      </c>
      <c r="D64" s="289" t="s">
        <v>13</v>
      </c>
      <c r="E64" s="293"/>
      <c r="F64" s="289" t="s">
        <v>14</v>
      </c>
      <c r="G64" s="289"/>
      <c r="H64" s="285"/>
    </row>
    <row r="65" spans="1:9" ht="15.75" customHeight="1" x14ac:dyDescent="0.25">
      <c r="A65" s="289" t="s">
        <v>203</v>
      </c>
      <c r="B65" s="289" t="s">
        <v>203</v>
      </c>
      <c r="C65" s="289" t="s">
        <v>203</v>
      </c>
      <c r="D65" s="289" t="s">
        <v>203</v>
      </c>
      <c r="E65" s="293"/>
      <c r="F65" s="289" t="s">
        <v>203</v>
      </c>
      <c r="G65" s="289"/>
      <c r="H65" s="285"/>
    </row>
    <row r="66" spans="1:9" ht="15.75" customHeight="1" x14ac:dyDescent="0.25">
      <c r="A66" s="289" t="s">
        <v>1537</v>
      </c>
      <c r="B66" s="289" t="s">
        <v>1155</v>
      </c>
      <c r="C66" s="289" t="s">
        <v>1208</v>
      </c>
      <c r="D66" s="289" t="s">
        <v>1530</v>
      </c>
      <c r="E66" s="293"/>
      <c r="F66" s="289" t="s">
        <v>1238</v>
      </c>
      <c r="G66" s="289"/>
      <c r="H66" s="285"/>
    </row>
    <row r="67" spans="1:9" ht="15.75" customHeight="1" x14ac:dyDescent="0.25">
      <c r="A67" s="289" t="s">
        <v>1520</v>
      </c>
      <c r="B67" s="289" t="s">
        <v>1172</v>
      </c>
      <c r="C67" s="289" t="s">
        <v>1163</v>
      </c>
      <c r="D67" s="289" t="s">
        <v>1717</v>
      </c>
      <c r="E67" s="293"/>
      <c r="F67" s="289" t="s">
        <v>1229</v>
      </c>
      <c r="G67" s="289"/>
      <c r="H67" s="285"/>
    </row>
    <row r="68" spans="1:9" ht="15.75" customHeight="1" x14ac:dyDescent="0.25">
      <c r="A68" s="289" t="s">
        <v>1795</v>
      </c>
      <c r="B68" s="289" t="s">
        <v>1209</v>
      </c>
      <c r="C68" s="289" t="s">
        <v>1209</v>
      </c>
      <c r="D68" s="289" t="s">
        <v>1715</v>
      </c>
      <c r="E68" s="293"/>
      <c r="F68" s="289" t="s">
        <v>1185</v>
      </c>
      <c r="G68" s="289"/>
      <c r="H68" s="285"/>
    </row>
    <row r="69" spans="1:9" ht="15.75" customHeight="1" x14ac:dyDescent="0.25">
      <c r="A69" s="284" t="s">
        <v>186</v>
      </c>
      <c r="B69" s="284" t="s">
        <v>420</v>
      </c>
      <c r="C69" s="284" t="s">
        <v>1741</v>
      </c>
      <c r="D69" s="284" t="s">
        <v>183</v>
      </c>
      <c r="E69" s="284" t="s">
        <v>187</v>
      </c>
      <c r="F69" s="284" t="s">
        <v>186</v>
      </c>
      <c r="G69" s="284" t="s">
        <v>188</v>
      </c>
      <c r="H69" s="284" t="s">
        <v>184</v>
      </c>
      <c r="I69" s="261"/>
    </row>
    <row r="70" spans="1:9" ht="15.75" customHeight="1" x14ac:dyDescent="0.25">
      <c r="A70" s="289" t="s">
        <v>836</v>
      </c>
      <c r="B70" s="289" t="s">
        <v>1734</v>
      </c>
      <c r="C70" s="289" t="s">
        <v>1734</v>
      </c>
      <c r="D70" s="288"/>
      <c r="E70" s="293"/>
      <c r="F70" s="289" t="s">
        <v>1571</v>
      </c>
      <c r="G70" s="288"/>
      <c r="H70" s="293"/>
      <c r="I70" s="261"/>
    </row>
    <row r="71" spans="1:9" ht="15.75" customHeight="1" x14ac:dyDescent="0.25">
      <c r="A71" s="289" t="s">
        <v>165</v>
      </c>
      <c r="B71" s="289" t="s">
        <v>165</v>
      </c>
      <c r="C71" s="289" t="s">
        <v>165</v>
      </c>
      <c r="D71" s="288"/>
      <c r="E71" s="293"/>
      <c r="F71" s="289" t="s">
        <v>148</v>
      </c>
      <c r="G71" s="288"/>
      <c r="H71" s="281"/>
      <c r="I71" s="261"/>
    </row>
    <row r="72" spans="1:9" ht="15.75" customHeight="1" x14ac:dyDescent="0.25">
      <c r="A72" s="289" t="s">
        <v>1781</v>
      </c>
      <c r="B72" s="289" t="s">
        <v>1735</v>
      </c>
      <c r="C72" s="289" t="s">
        <v>1738</v>
      </c>
      <c r="D72" s="288"/>
      <c r="E72" s="293"/>
      <c r="F72" s="289" t="s">
        <v>1572</v>
      </c>
      <c r="G72" s="288"/>
      <c r="H72" s="283"/>
      <c r="I72" s="261"/>
    </row>
    <row r="73" spans="1:9" ht="15.75" customHeight="1" x14ac:dyDescent="0.25">
      <c r="A73" s="290" t="s">
        <v>161</v>
      </c>
      <c r="B73" s="293" t="s">
        <v>161</v>
      </c>
      <c r="C73" s="293" t="s">
        <v>161</v>
      </c>
      <c r="D73" s="288"/>
      <c r="E73" s="280"/>
      <c r="F73" s="290" t="s">
        <v>161</v>
      </c>
      <c r="G73" s="288"/>
      <c r="H73" s="283"/>
      <c r="I73" s="261"/>
    </row>
    <row r="74" spans="1:9" ht="15.75" customHeight="1" x14ac:dyDescent="0.25">
      <c r="A74" s="290" t="s">
        <v>1079</v>
      </c>
      <c r="B74" s="290" t="s">
        <v>163</v>
      </c>
      <c r="C74" s="290" t="s">
        <v>795</v>
      </c>
      <c r="D74" s="288"/>
      <c r="E74" s="293"/>
      <c r="F74" s="290" t="s">
        <v>163</v>
      </c>
      <c r="G74" s="288"/>
      <c r="H74" s="283"/>
      <c r="I74" s="261"/>
    </row>
    <row r="75" spans="1:9" ht="15.75" customHeight="1" x14ac:dyDescent="0.25">
      <c r="A75" s="290" t="s">
        <v>673</v>
      </c>
      <c r="B75" s="290" t="s">
        <v>1456</v>
      </c>
      <c r="C75" s="290" t="s">
        <v>1739</v>
      </c>
      <c r="D75" s="288"/>
      <c r="E75" s="293"/>
      <c r="F75" s="290" t="s">
        <v>298</v>
      </c>
      <c r="G75" s="288"/>
      <c r="H75" s="283"/>
      <c r="I75" s="261"/>
    </row>
    <row r="76" spans="1:9" ht="15.75" customHeight="1" x14ac:dyDescent="0.25">
      <c r="A76" s="289" t="s">
        <v>683</v>
      </c>
      <c r="B76" s="289" t="s">
        <v>508</v>
      </c>
      <c r="C76" s="289" t="s">
        <v>508</v>
      </c>
      <c r="D76" s="288"/>
      <c r="E76" s="293"/>
      <c r="F76" s="289" t="s">
        <v>737</v>
      </c>
      <c r="G76" s="288"/>
      <c r="H76" s="285"/>
      <c r="I76" s="261"/>
    </row>
    <row r="77" spans="1:9" ht="15.75" customHeight="1" x14ac:dyDescent="0.25">
      <c r="A77" s="289" t="s">
        <v>1082</v>
      </c>
      <c r="B77" s="289" t="s">
        <v>13</v>
      </c>
      <c r="C77" s="289" t="s">
        <v>796</v>
      </c>
      <c r="D77" s="288"/>
      <c r="E77" s="293"/>
      <c r="F77" s="289" t="s">
        <v>13</v>
      </c>
      <c r="G77" s="288"/>
      <c r="H77" s="285"/>
      <c r="I77" s="261"/>
    </row>
    <row r="78" spans="1:9" ht="15.75" customHeight="1" x14ac:dyDescent="0.25">
      <c r="A78" s="289" t="s">
        <v>203</v>
      </c>
      <c r="B78" s="289" t="s">
        <v>203</v>
      </c>
      <c r="C78" s="289" t="s">
        <v>203</v>
      </c>
      <c r="D78" s="288"/>
      <c r="E78" s="293"/>
      <c r="F78" s="289" t="s">
        <v>164</v>
      </c>
      <c r="G78" s="288"/>
      <c r="H78" s="285"/>
      <c r="I78" s="261"/>
    </row>
    <row r="79" spans="1:9" ht="15.75" customHeight="1" x14ac:dyDescent="0.25">
      <c r="A79" s="289" t="s">
        <v>1776</v>
      </c>
      <c r="B79" s="289" t="s">
        <v>1208</v>
      </c>
      <c r="C79" s="289" t="s">
        <v>1612</v>
      </c>
      <c r="D79" s="288"/>
      <c r="E79" s="293"/>
      <c r="F79" s="289" t="s">
        <v>1230</v>
      </c>
      <c r="G79" s="288"/>
      <c r="H79" s="285"/>
      <c r="I79" s="261"/>
    </row>
    <row r="80" spans="1:9" ht="15.75" customHeight="1" x14ac:dyDescent="0.25">
      <c r="A80" s="289" t="s">
        <v>1796</v>
      </c>
      <c r="B80" s="289" t="s">
        <v>1737</v>
      </c>
      <c r="C80" s="289" t="s">
        <v>1740</v>
      </c>
      <c r="D80" s="288"/>
      <c r="E80" s="293"/>
      <c r="F80" s="289" t="s">
        <v>1512</v>
      </c>
      <c r="G80" s="288"/>
      <c r="H80" s="285"/>
      <c r="I80" s="261"/>
    </row>
    <row r="81" spans="1:9" ht="15.75" customHeight="1" x14ac:dyDescent="0.25">
      <c r="A81" s="289" t="s">
        <v>1794</v>
      </c>
      <c r="B81" s="289" t="s">
        <v>1736</v>
      </c>
      <c r="C81" s="289" t="s">
        <v>1736</v>
      </c>
      <c r="D81" s="288"/>
      <c r="E81" s="293"/>
      <c r="F81" s="289" t="s">
        <v>1545</v>
      </c>
      <c r="G81" s="288"/>
      <c r="H81" s="285"/>
      <c r="I81" s="261"/>
    </row>
    <row r="82" spans="1:9" ht="15.75" customHeight="1" x14ac:dyDescent="0.25">
      <c r="A82" s="284" t="s">
        <v>181</v>
      </c>
      <c r="B82" s="284" t="s">
        <v>185</v>
      </c>
      <c r="C82" s="284" t="s">
        <v>841</v>
      </c>
      <c r="D82" s="284" t="s">
        <v>183</v>
      </c>
      <c r="E82" s="284" t="s">
        <v>187</v>
      </c>
      <c r="F82" s="284" t="s">
        <v>186</v>
      </c>
      <c r="G82" s="284" t="s">
        <v>188</v>
      </c>
      <c r="H82" s="284" t="s">
        <v>184</v>
      </c>
      <c r="I82" s="261"/>
    </row>
    <row r="83" spans="1:9" ht="15.75" customHeight="1" x14ac:dyDescent="0.25">
      <c r="A83" s="288"/>
      <c r="B83" s="289"/>
      <c r="C83" s="289" t="s">
        <v>1780</v>
      </c>
      <c r="D83" s="288"/>
      <c r="E83" s="293"/>
      <c r="F83" s="289" t="s">
        <v>1752</v>
      </c>
      <c r="G83" s="288"/>
      <c r="H83" s="293"/>
      <c r="I83" s="261"/>
    </row>
    <row r="84" spans="1:9" ht="15.75" customHeight="1" x14ac:dyDescent="0.25">
      <c r="A84" s="288"/>
      <c r="B84" s="289"/>
      <c r="C84" s="289" t="s">
        <v>165</v>
      </c>
      <c r="D84" s="288"/>
      <c r="E84" s="293"/>
      <c r="F84" s="289" t="s">
        <v>165</v>
      </c>
      <c r="G84" s="288"/>
      <c r="H84" s="281"/>
      <c r="I84" s="261"/>
    </row>
    <row r="85" spans="1:9" ht="15.75" customHeight="1" x14ac:dyDescent="0.25">
      <c r="A85" s="288"/>
      <c r="B85" s="289"/>
      <c r="C85" s="289" t="s">
        <v>1781</v>
      </c>
      <c r="D85" s="288"/>
      <c r="E85" s="293"/>
      <c r="F85" s="289" t="s">
        <v>1548</v>
      </c>
      <c r="G85" s="288"/>
      <c r="H85" s="283"/>
      <c r="I85" s="261"/>
    </row>
    <row r="86" spans="1:9" ht="15.75" customHeight="1" x14ac:dyDescent="0.25">
      <c r="A86" s="288"/>
      <c r="B86" s="290"/>
      <c r="C86" s="293" t="s">
        <v>161</v>
      </c>
      <c r="D86" s="288"/>
      <c r="E86" s="280"/>
      <c r="F86" s="290" t="s">
        <v>161</v>
      </c>
      <c r="G86" s="288"/>
      <c r="H86" s="283"/>
      <c r="I86" s="261"/>
    </row>
    <row r="87" spans="1:9" ht="15.75" customHeight="1" x14ac:dyDescent="0.25">
      <c r="A87" s="288"/>
      <c r="B87" s="290"/>
      <c r="C87" s="290" t="s">
        <v>1060</v>
      </c>
      <c r="D87" s="288"/>
      <c r="E87" s="293"/>
      <c r="F87" s="290" t="s">
        <v>163</v>
      </c>
      <c r="G87" s="288"/>
      <c r="H87" s="283"/>
      <c r="I87" s="261"/>
    </row>
    <row r="88" spans="1:9" ht="15.75" customHeight="1" x14ac:dyDescent="0.25">
      <c r="A88" s="288"/>
      <c r="B88" s="290"/>
      <c r="C88" s="290" t="s">
        <v>853</v>
      </c>
      <c r="D88" s="288"/>
      <c r="E88" s="293"/>
      <c r="F88" s="290" t="s">
        <v>1753</v>
      </c>
      <c r="G88" s="288"/>
      <c r="H88" s="283"/>
      <c r="I88" s="261"/>
    </row>
    <row r="89" spans="1:9" ht="15.75" customHeight="1" x14ac:dyDescent="0.25">
      <c r="A89" s="288"/>
      <c r="B89" s="289"/>
      <c r="C89" s="289" t="s">
        <v>1782</v>
      </c>
      <c r="D89" s="288"/>
      <c r="E89" s="293"/>
      <c r="F89" s="289" t="s">
        <v>508</v>
      </c>
      <c r="G89" s="288"/>
      <c r="H89" s="285"/>
      <c r="I89" s="261"/>
    </row>
    <row r="90" spans="1:9" ht="15.75" customHeight="1" x14ac:dyDescent="0.25">
      <c r="A90" s="288"/>
      <c r="B90" s="289"/>
      <c r="C90" s="289" t="s">
        <v>162</v>
      </c>
      <c r="D90" s="288"/>
      <c r="E90" s="293"/>
      <c r="F90" s="289" t="s">
        <v>15</v>
      </c>
      <c r="G90" s="288"/>
      <c r="H90" s="285"/>
      <c r="I90" s="261"/>
    </row>
    <row r="91" spans="1:9" ht="15.75" customHeight="1" x14ac:dyDescent="0.25">
      <c r="A91" s="288"/>
      <c r="B91" s="289"/>
      <c r="C91" s="289" t="s">
        <v>164</v>
      </c>
      <c r="D91" s="288"/>
      <c r="E91" s="293"/>
      <c r="F91" s="289" t="s">
        <v>1706</v>
      </c>
      <c r="G91" s="288"/>
      <c r="H91" s="285"/>
      <c r="I91" s="261"/>
    </row>
    <row r="92" spans="1:9" ht="15.75" customHeight="1" x14ac:dyDescent="0.25">
      <c r="A92" s="288"/>
      <c r="B92" s="289"/>
      <c r="C92" s="289" t="s">
        <v>1618</v>
      </c>
      <c r="D92" s="288"/>
      <c r="E92" s="293"/>
      <c r="F92" s="289" t="s">
        <v>1754</v>
      </c>
      <c r="G92" s="288"/>
      <c r="H92" s="285"/>
      <c r="I92" s="261"/>
    </row>
    <row r="93" spans="1:9" ht="15.75" customHeight="1" x14ac:dyDescent="0.25">
      <c r="A93" s="288"/>
      <c r="B93" s="289"/>
      <c r="C93" s="289" t="s">
        <v>1783</v>
      </c>
      <c r="D93" s="288"/>
      <c r="E93" s="293"/>
      <c r="F93" s="289" t="s">
        <v>1707</v>
      </c>
      <c r="G93" s="288"/>
      <c r="H93" s="285"/>
      <c r="I93" s="261"/>
    </row>
    <row r="94" spans="1:9" ht="15.75" customHeight="1" x14ac:dyDescent="0.25">
      <c r="A94" s="288"/>
      <c r="B94" s="289"/>
      <c r="C94" s="289" t="s">
        <v>1727</v>
      </c>
      <c r="D94" s="288"/>
      <c r="E94" s="293"/>
      <c r="F94" s="289" t="s">
        <v>1705</v>
      </c>
      <c r="G94" s="288"/>
      <c r="H94" s="285"/>
      <c r="I94" s="261"/>
    </row>
    <row r="95" spans="1:9" ht="15.75" customHeight="1" x14ac:dyDescent="0.25">
      <c r="A95" s="284" t="s">
        <v>186</v>
      </c>
      <c r="B95" s="284" t="s">
        <v>185</v>
      </c>
      <c r="C95" s="284" t="s">
        <v>841</v>
      </c>
      <c r="D95" s="284" t="s">
        <v>183</v>
      </c>
      <c r="E95" s="293"/>
      <c r="F95" s="284" t="s">
        <v>186</v>
      </c>
      <c r="G95" s="284" t="s">
        <v>188</v>
      </c>
      <c r="H95" s="284" t="s">
        <v>184</v>
      </c>
      <c r="I95" s="261"/>
    </row>
    <row r="96" spans="1:9" x14ac:dyDescent="0.25">
      <c r="A96" s="288"/>
      <c r="B96" s="289"/>
      <c r="C96" s="289"/>
      <c r="D96" s="288"/>
      <c r="E96" s="293"/>
      <c r="F96" s="288"/>
      <c r="G96" s="289"/>
      <c r="H96" s="293"/>
      <c r="I96" s="261"/>
    </row>
    <row r="97" spans="1:9" x14ac:dyDescent="0.25">
      <c r="A97" s="288"/>
      <c r="B97" s="289"/>
      <c r="C97" s="289"/>
      <c r="D97" s="288"/>
      <c r="E97" s="293"/>
      <c r="F97" s="288"/>
      <c r="G97" s="289"/>
      <c r="H97" s="281"/>
      <c r="I97" s="261"/>
    </row>
    <row r="98" spans="1:9" x14ac:dyDescent="0.25">
      <c r="A98" s="288"/>
      <c r="B98" s="289"/>
      <c r="C98" s="289"/>
      <c r="D98" s="288"/>
      <c r="E98" s="293"/>
      <c r="F98" s="288"/>
      <c r="G98" s="289"/>
      <c r="H98" s="283"/>
      <c r="I98" s="261"/>
    </row>
    <row r="99" spans="1:9" x14ac:dyDescent="0.25">
      <c r="A99" s="288"/>
      <c r="B99" s="290"/>
      <c r="C99" s="290"/>
      <c r="D99" s="288"/>
      <c r="E99" s="280"/>
      <c r="F99" s="288"/>
      <c r="G99" s="290"/>
      <c r="H99" s="283"/>
    </row>
    <row r="100" spans="1:9" x14ac:dyDescent="0.25">
      <c r="A100" s="288"/>
      <c r="B100" s="290"/>
      <c r="C100" s="290"/>
      <c r="D100" s="288"/>
      <c r="E100" s="293"/>
      <c r="F100" s="288"/>
      <c r="G100" s="290"/>
      <c r="H100" s="283"/>
    </row>
    <row r="101" spans="1:9" x14ac:dyDescent="0.25">
      <c r="A101" s="288"/>
      <c r="B101" s="290"/>
      <c r="C101" s="290"/>
      <c r="D101" s="288"/>
      <c r="E101" s="293"/>
      <c r="F101" s="288"/>
      <c r="G101" s="290"/>
      <c r="H101" s="283"/>
    </row>
    <row r="102" spans="1:9" x14ac:dyDescent="0.25">
      <c r="A102" s="288"/>
      <c r="B102" s="289"/>
      <c r="C102" s="289"/>
      <c r="D102" s="288"/>
      <c r="E102" s="293"/>
      <c r="F102" s="288"/>
      <c r="G102" s="289"/>
      <c r="H102" s="285"/>
    </row>
    <row r="103" spans="1:9" x14ac:dyDescent="0.25">
      <c r="A103" s="288"/>
      <c r="B103" s="289"/>
      <c r="C103" s="289"/>
      <c r="D103" s="288"/>
      <c r="E103" s="293"/>
      <c r="F103" s="288"/>
      <c r="G103" s="289"/>
      <c r="H103" s="285"/>
    </row>
    <row r="104" spans="1:9" x14ac:dyDescent="0.25">
      <c r="A104" s="288"/>
      <c r="B104" s="289"/>
      <c r="C104" s="289"/>
      <c r="D104" s="288"/>
      <c r="E104" s="293"/>
      <c r="F104" s="288"/>
      <c r="G104" s="289"/>
      <c r="H104" s="285"/>
    </row>
    <row r="105" spans="1:9" x14ac:dyDescent="0.25">
      <c r="A105" s="288"/>
      <c r="B105" s="289"/>
      <c r="C105" s="289"/>
      <c r="D105" s="288"/>
      <c r="E105" s="293"/>
      <c r="F105" s="288"/>
      <c r="G105" s="289"/>
      <c r="H105" s="285"/>
    </row>
    <row r="106" spans="1:9" x14ac:dyDescent="0.25">
      <c r="A106" s="288"/>
      <c r="B106" s="289"/>
      <c r="C106" s="289"/>
      <c r="D106" s="288"/>
      <c r="E106" s="293"/>
      <c r="F106" s="288"/>
      <c r="G106" s="289"/>
      <c r="H106" s="285"/>
    </row>
    <row r="107" spans="1:9" x14ac:dyDescent="0.25">
      <c r="A107" s="288"/>
      <c r="B107" s="289"/>
      <c r="C107" s="289"/>
      <c r="D107" s="288"/>
      <c r="E107" s="293"/>
      <c r="F107" s="288"/>
      <c r="G107" s="289"/>
      <c r="H107" s="285"/>
    </row>
    <row r="108" spans="1:9" x14ac:dyDescent="0.25">
      <c r="A108" s="281" t="s">
        <v>181</v>
      </c>
      <c r="B108" s="284" t="s">
        <v>185</v>
      </c>
      <c r="C108" s="284" t="s">
        <v>841</v>
      </c>
      <c r="D108" s="284" t="s">
        <v>183</v>
      </c>
      <c r="E108" s="281" t="s">
        <v>187</v>
      </c>
      <c r="F108" s="284" t="s">
        <v>186</v>
      </c>
      <c r="G108" s="284" t="s">
        <v>188</v>
      </c>
      <c r="H108" s="281" t="s">
        <v>184</v>
      </c>
    </row>
    <row r="109" spans="1:9" x14ac:dyDescent="0.25">
      <c r="A109" s="289"/>
      <c r="B109" s="289"/>
      <c r="C109" s="289"/>
      <c r="D109" s="288"/>
      <c r="E109" s="289"/>
      <c r="F109" s="288"/>
      <c r="G109" s="289"/>
      <c r="H109" s="288"/>
    </row>
    <row r="110" spans="1:9" x14ac:dyDescent="0.25">
      <c r="A110" s="289"/>
      <c r="B110" s="289"/>
      <c r="C110" s="289"/>
      <c r="D110" s="288"/>
      <c r="E110" s="289"/>
      <c r="F110" s="288"/>
      <c r="G110" s="289"/>
      <c r="H110" s="288"/>
    </row>
    <row r="111" spans="1:9" x14ac:dyDescent="0.25">
      <c r="A111" s="289"/>
      <c r="B111" s="289"/>
      <c r="C111" s="289"/>
      <c r="D111" s="288"/>
      <c r="E111" s="289"/>
      <c r="F111" s="288"/>
      <c r="G111" s="289"/>
      <c r="H111" s="288"/>
    </row>
    <row r="112" spans="1:9" x14ac:dyDescent="0.25">
      <c r="A112" s="290"/>
      <c r="B112" s="290"/>
      <c r="C112" s="290"/>
      <c r="D112" s="288"/>
      <c r="E112" s="290"/>
      <c r="F112" s="288"/>
      <c r="G112" s="290"/>
      <c r="H112" s="288"/>
    </row>
    <row r="113" spans="1:8" x14ac:dyDescent="0.25">
      <c r="A113" s="290"/>
      <c r="B113" s="290"/>
      <c r="C113" s="290"/>
      <c r="D113" s="288"/>
      <c r="E113" s="290"/>
      <c r="F113" s="288"/>
      <c r="G113" s="290"/>
      <c r="H113" s="288"/>
    </row>
    <row r="114" spans="1:8" x14ac:dyDescent="0.25">
      <c r="A114" s="290"/>
      <c r="B114" s="290"/>
      <c r="C114" s="290"/>
      <c r="D114" s="288"/>
      <c r="E114" s="290"/>
      <c r="F114" s="288"/>
      <c r="G114" s="290"/>
      <c r="H114" s="288"/>
    </row>
    <row r="115" spans="1:8" x14ac:dyDescent="0.25">
      <c r="A115" s="289"/>
      <c r="B115" s="289"/>
      <c r="C115" s="289"/>
      <c r="D115" s="288"/>
      <c r="E115" s="289"/>
      <c r="F115" s="288"/>
      <c r="G115" s="289"/>
      <c r="H115" s="288"/>
    </row>
    <row r="116" spans="1:8" x14ac:dyDescent="0.25">
      <c r="A116" s="289"/>
      <c r="B116" s="289"/>
      <c r="C116" s="289"/>
      <c r="D116" s="288"/>
      <c r="E116" s="289"/>
      <c r="F116" s="288"/>
      <c r="G116" s="289"/>
      <c r="H116" s="288"/>
    </row>
    <row r="117" spans="1:8" x14ac:dyDescent="0.25">
      <c r="A117" s="289"/>
      <c r="B117" s="289"/>
      <c r="C117" s="289"/>
      <c r="D117" s="288"/>
      <c r="E117" s="289"/>
      <c r="F117" s="288"/>
      <c r="G117" s="289"/>
      <c r="H117" s="288"/>
    </row>
    <row r="118" spans="1:8" x14ac:dyDescent="0.25">
      <c r="A118" s="289"/>
      <c r="B118" s="289"/>
      <c r="C118" s="289"/>
      <c r="D118" s="288"/>
      <c r="E118" s="289"/>
      <c r="F118" s="288"/>
      <c r="G118" s="289"/>
      <c r="H118" s="288"/>
    </row>
    <row r="119" spans="1:8" x14ac:dyDescent="0.25">
      <c r="A119" s="289"/>
      <c r="B119" s="289"/>
      <c r="C119" s="289"/>
      <c r="D119" s="288"/>
      <c r="E119" s="289"/>
      <c r="F119" s="288"/>
      <c r="G119" s="289"/>
      <c r="H119" s="288"/>
    </row>
    <row r="120" spans="1:8" x14ac:dyDescent="0.25">
      <c r="A120" s="289"/>
      <c r="B120" s="289"/>
      <c r="C120" s="289"/>
      <c r="D120" s="288"/>
      <c r="E120" s="289"/>
      <c r="F120" s="288"/>
      <c r="G120" s="289"/>
      <c r="H120" s="288"/>
    </row>
    <row r="121" spans="1:8" s="260" customFormat="1" x14ac:dyDescent="0.25">
      <c r="A121" s="281" t="s">
        <v>181</v>
      </c>
      <c r="B121" s="284" t="s">
        <v>185</v>
      </c>
      <c r="C121" s="284" t="s">
        <v>841</v>
      </c>
      <c r="D121" s="284" t="s">
        <v>183</v>
      </c>
      <c r="E121" s="281" t="s">
        <v>187</v>
      </c>
      <c r="F121" s="284" t="s">
        <v>186</v>
      </c>
      <c r="G121" s="284" t="s">
        <v>188</v>
      </c>
      <c r="H121" s="281" t="s">
        <v>184</v>
      </c>
    </row>
  </sheetData>
  <pageMargins left="0.2" right="0" top="0.25" bottom="0" header="0.3" footer="0.05"/>
  <pageSetup paperSize="9" scale="67" orientation="landscape" r:id="rId1"/>
  <rowBreaks count="1" manualBreakCount="1">
    <brk id="55" max="16383" man="1"/>
  </rowBreaks>
  <colBreaks count="1" manualBreakCount="1">
    <brk id="8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1"/>
  <sheetViews>
    <sheetView zoomScaleNormal="100" workbookViewId="0">
      <selection activeCell="B11" sqref="B11"/>
    </sheetView>
  </sheetViews>
  <sheetFormatPr defaultRowHeight="15" x14ac:dyDescent="0.25"/>
  <cols>
    <col min="1" max="1" width="25.140625" customWidth="1"/>
    <col min="2" max="2" width="21" customWidth="1"/>
    <col min="3" max="3" width="25" customWidth="1"/>
    <col min="4" max="4" width="24.140625" customWidth="1"/>
    <col min="5" max="5" width="23.140625" customWidth="1"/>
    <col min="6" max="6" width="23.42578125" customWidth="1"/>
    <col min="7" max="7" width="22.140625" customWidth="1"/>
    <col min="8" max="8" width="22.7109375" customWidth="1"/>
    <col min="9" max="9" width="24" customWidth="1"/>
    <col min="10" max="10" width="24.5703125" customWidth="1"/>
    <col min="11" max="11" width="26.42578125" customWidth="1"/>
    <col min="12" max="12" width="24.28515625" customWidth="1"/>
    <col min="13" max="13" width="11.140625" customWidth="1"/>
  </cols>
  <sheetData>
    <row r="1" spans="1:14" ht="15.75" x14ac:dyDescent="0.25">
      <c r="A1" s="739" t="s">
        <v>178</v>
      </c>
      <c r="B1" s="739"/>
      <c r="C1" s="739"/>
      <c r="D1" s="739"/>
      <c r="E1" s="739"/>
      <c r="F1" s="233"/>
      <c r="G1" s="232"/>
      <c r="H1" s="234"/>
      <c r="I1" s="234"/>
    </row>
    <row r="2" spans="1:14" ht="15.75" x14ac:dyDescent="0.25">
      <c r="A2" s="690"/>
      <c r="B2" s="690"/>
      <c r="C2" s="690"/>
      <c r="D2" s="690"/>
      <c r="E2" s="690"/>
      <c r="F2" s="233"/>
      <c r="G2" s="232"/>
      <c r="H2" s="234"/>
      <c r="I2" s="234"/>
    </row>
    <row r="3" spans="1:14" ht="15.75" x14ac:dyDescent="0.25">
      <c r="A3" s="739" t="s">
        <v>189</v>
      </c>
      <c r="B3" s="739"/>
      <c r="C3" s="739"/>
      <c r="D3" s="739"/>
      <c r="E3" s="739"/>
      <c r="F3" s="233"/>
      <c r="G3" s="232"/>
      <c r="H3" s="234"/>
      <c r="I3" s="234"/>
    </row>
    <row r="4" spans="1:14" ht="15.75" x14ac:dyDescent="0.25">
      <c r="A4" s="740" t="s">
        <v>190</v>
      </c>
      <c r="B4" s="740"/>
      <c r="C4" s="740"/>
      <c r="D4" s="740"/>
      <c r="E4" s="740"/>
      <c r="F4" s="296"/>
      <c r="G4" s="296"/>
      <c r="H4" s="273"/>
      <c r="I4" s="348"/>
      <c r="J4" s="348"/>
      <c r="K4" s="296"/>
      <c r="L4" s="348"/>
    </row>
    <row r="5" spans="1:14" ht="15.75" customHeight="1" x14ac:dyDescent="0.25">
      <c r="A5" s="348" t="s">
        <v>181</v>
      </c>
      <c r="B5" s="296" t="s">
        <v>185</v>
      </c>
      <c r="C5" s="296" t="s">
        <v>1372</v>
      </c>
      <c r="D5" s="296" t="s">
        <v>183</v>
      </c>
      <c r="E5" s="296" t="s">
        <v>1327</v>
      </c>
      <c r="F5" s="296" t="s">
        <v>1464</v>
      </c>
      <c r="G5" s="296" t="s">
        <v>188</v>
      </c>
      <c r="H5" s="273" t="s">
        <v>184</v>
      </c>
      <c r="I5" s="348" t="s">
        <v>1393</v>
      </c>
      <c r="J5" s="348" t="s">
        <v>246</v>
      </c>
      <c r="K5" s="296" t="s">
        <v>258</v>
      </c>
      <c r="L5" s="348" t="s">
        <v>1392</v>
      </c>
      <c r="N5" s="261"/>
    </row>
    <row r="6" spans="1:14" ht="15.75" customHeight="1" x14ac:dyDescent="0.25">
      <c r="A6" s="289" t="s">
        <v>1015</v>
      </c>
      <c r="B6" s="288"/>
      <c r="C6" s="293" t="s">
        <v>1373</v>
      </c>
      <c r="D6" s="289" t="s">
        <v>1015</v>
      </c>
      <c r="E6" s="293"/>
      <c r="F6" s="293" t="s">
        <v>978</v>
      </c>
      <c r="G6" s="288"/>
      <c r="H6" s="711"/>
      <c r="I6" s="293" t="s">
        <v>854</v>
      </c>
      <c r="J6" s="289" t="s">
        <v>976</v>
      </c>
      <c r="K6" s="289"/>
      <c r="L6" s="293" t="s">
        <v>854</v>
      </c>
      <c r="N6" s="261"/>
    </row>
    <row r="7" spans="1:14" ht="15.75" customHeight="1" x14ac:dyDescent="0.25">
      <c r="A7" s="289" t="s">
        <v>157</v>
      </c>
      <c r="B7" s="288"/>
      <c r="C7" s="293" t="s">
        <v>73</v>
      </c>
      <c r="D7" s="289" t="s">
        <v>157</v>
      </c>
      <c r="E7" s="293"/>
      <c r="F7" s="293" t="s">
        <v>73</v>
      </c>
      <c r="G7" s="288"/>
      <c r="H7" s="711"/>
      <c r="I7" s="293" t="s">
        <v>691</v>
      </c>
      <c r="J7" s="289" t="s">
        <v>148</v>
      </c>
      <c r="K7" s="289"/>
      <c r="L7" s="293" t="s">
        <v>691</v>
      </c>
      <c r="N7" s="261"/>
    </row>
    <row r="8" spans="1:14" ht="15.75" customHeight="1" x14ac:dyDescent="0.25">
      <c r="A8" s="289" t="s">
        <v>1355</v>
      </c>
      <c r="B8" s="288"/>
      <c r="C8" s="291" t="s">
        <v>1374</v>
      </c>
      <c r="D8" s="289" t="s">
        <v>1348</v>
      </c>
      <c r="E8" s="293"/>
      <c r="F8" s="293" t="s">
        <v>1437</v>
      </c>
      <c r="G8" s="288"/>
      <c r="H8" s="711"/>
      <c r="I8" s="293" t="s">
        <v>1452</v>
      </c>
      <c r="J8" s="289" t="s">
        <v>879</v>
      </c>
      <c r="K8" s="289"/>
      <c r="L8" s="293" t="s">
        <v>1451</v>
      </c>
      <c r="N8" s="261"/>
    </row>
    <row r="9" spans="1:14" ht="15.75" customHeight="1" x14ac:dyDescent="0.25">
      <c r="A9" s="293" t="s">
        <v>1350</v>
      </c>
      <c r="B9" s="288"/>
      <c r="C9" s="293" t="s">
        <v>1346</v>
      </c>
      <c r="D9" s="293" t="s">
        <v>1346</v>
      </c>
      <c r="E9" s="293"/>
      <c r="F9" s="293" t="s">
        <v>1346</v>
      </c>
      <c r="G9" s="288"/>
      <c r="H9" s="711"/>
      <c r="I9" s="293" t="s">
        <v>1346</v>
      </c>
      <c r="J9" s="290" t="s">
        <v>219</v>
      </c>
      <c r="K9" s="290"/>
      <c r="L9" s="293" t="s">
        <v>1346</v>
      </c>
      <c r="N9" s="261"/>
    </row>
    <row r="10" spans="1:14" ht="15.75" customHeight="1" x14ac:dyDescent="0.25">
      <c r="A10" s="401" t="s">
        <v>1349</v>
      </c>
      <c r="B10" s="288"/>
      <c r="C10" s="293" t="s">
        <v>1396</v>
      </c>
      <c r="D10" s="401" t="s">
        <v>244</v>
      </c>
      <c r="E10" s="293"/>
      <c r="F10" s="293" t="s">
        <v>1396</v>
      </c>
      <c r="G10" s="288"/>
      <c r="H10" s="711"/>
      <c r="I10" s="293" t="s">
        <v>1396</v>
      </c>
      <c r="J10" s="290" t="s">
        <v>1408</v>
      </c>
      <c r="K10" s="290"/>
      <c r="L10" s="293" t="s">
        <v>1396</v>
      </c>
      <c r="N10" s="261"/>
    </row>
    <row r="11" spans="1:14" ht="15.75" customHeight="1" x14ac:dyDescent="0.25">
      <c r="A11" s="290" t="s">
        <v>1232</v>
      </c>
      <c r="B11" s="293" t="s">
        <v>1354</v>
      </c>
      <c r="C11" s="293" t="s">
        <v>1403</v>
      </c>
      <c r="D11" s="290" t="s">
        <v>1232</v>
      </c>
      <c r="E11" s="293"/>
      <c r="F11" s="293" t="s">
        <v>842</v>
      </c>
      <c r="G11" s="288"/>
      <c r="H11" s="711"/>
      <c r="I11" s="293" t="s">
        <v>842</v>
      </c>
      <c r="J11" s="290" t="s">
        <v>507</v>
      </c>
      <c r="K11" s="290"/>
      <c r="L11" s="293" t="s">
        <v>842</v>
      </c>
      <c r="N11" s="261"/>
    </row>
    <row r="12" spans="1:14" ht="15.75" customHeight="1" x14ac:dyDescent="0.25">
      <c r="A12" s="289" t="s">
        <v>16</v>
      </c>
      <c r="B12" s="288"/>
      <c r="C12" s="293" t="s">
        <v>979</v>
      </c>
      <c r="D12" s="289" t="s">
        <v>16</v>
      </c>
      <c r="E12" s="281" t="s">
        <v>1354</v>
      </c>
      <c r="F12" s="293" t="s">
        <v>147</v>
      </c>
      <c r="G12" s="288"/>
      <c r="H12" s="711"/>
      <c r="I12" s="293" t="s">
        <v>849</v>
      </c>
      <c r="J12" s="289" t="s">
        <v>377</v>
      </c>
      <c r="K12" s="717"/>
      <c r="L12" s="293" t="s">
        <v>849</v>
      </c>
      <c r="N12" s="261"/>
    </row>
    <row r="13" spans="1:14" ht="15.75" customHeight="1" x14ac:dyDescent="0.25">
      <c r="A13" s="289" t="s">
        <v>14</v>
      </c>
      <c r="B13" s="288"/>
      <c r="C13" s="293" t="s">
        <v>15</v>
      </c>
      <c r="D13" s="289" t="s">
        <v>13</v>
      </c>
      <c r="E13" s="293"/>
      <c r="F13" s="293" t="s">
        <v>15</v>
      </c>
      <c r="G13" s="288"/>
      <c r="H13" s="711"/>
      <c r="I13" s="293" t="s">
        <v>15</v>
      </c>
      <c r="J13" s="289" t="s">
        <v>150</v>
      </c>
      <c r="K13" s="289"/>
      <c r="L13" s="293" t="s">
        <v>15</v>
      </c>
      <c r="N13" s="261"/>
    </row>
    <row r="14" spans="1:14" ht="15.75" customHeight="1" x14ac:dyDescent="0.25">
      <c r="A14" s="289" t="s">
        <v>164</v>
      </c>
      <c r="B14" s="288"/>
      <c r="C14" s="293" t="s">
        <v>51</v>
      </c>
      <c r="D14" s="289" t="s">
        <v>164</v>
      </c>
      <c r="E14" s="293"/>
      <c r="F14" s="293" t="s">
        <v>203</v>
      </c>
      <c r="G14" s="288"/>
      <c r="H14" s="711"/>
      <c r="I14" s="293" t="s">
        <v>164</v>
      </c>
      <c r="J14" s="289" t="s">
        <v>203</v>
      </c>
      <c r="K14" s="289"/>
      <c r="L14" s="293" t="s">
        <v>164</v>
      </c>
      <c r="N14" s="261"/>
    </row>
    <row r="15" spans="1:14" ht="15.75" customHeight="1" x14ac:dyDescent="0.25">
      <c r="A15" s="289" t="s">
        <v>913</v>
      </c>
      <c r="B15" s="288"/>
      <c r="C15" s="293" t="s">
        <v>1359</v>
      </c>
      <c r="D15" s="289" t="s">
        <v>913</v>
      </c>
      <c r="E15" s="293"/>
      <c r="F15" s="293" t="s">
        <v>1359</v>
      </c>
      <c r="G15" s="288"/>
      <c r="H15" s="711"/>
      <c r="I15" s="293" t="s">
        <v>934</v>
      </c>
      <c r="J15" s="289" t="s">
        <v>1005</v>
      </c>
      <c r="K15" s="289"/>
      <c r="L15" s="293" t="s">
        <v>939</v>
      </c>
      <c r="N15" s="261"/>
    </row>
    <row r="16" spans="1:14" ht="15.75" customHeight="1" x14ac:dyDescent="0.25">
      <c r="A16" s="289" t="s">
        <v>941</v>
      </c>
      <c r="B16" s="288"/>
      <c r="C16" s="293" t="s">
        <v>1099</v>
      </c>
      <c r="D16" s="289" t="s">
        <v>941</v>
      </c>
      <c r="E16" s="293"/>
      <c r="F16" s="293" t="s">
        <v>1028</v>
      </c>
      <c r="G16" s="288"/>
      <c r="H16" s="711"/>
      <c r="I16" s="293" t="s">
        <v>1444</v>
      </c>
      <c r="J16" s="289" t="s">
        <v>1340</v>
      </c>
      <c r="K16" s="289"/>
      <c r="L16" s="293" t="s">
        <v>1453</v>
      </c>
      <c r="N16" s="261"/>
    </row>
    <row r="17" spans="1:14" ht="15.75" customHeight="1" x14ac:dyDescent="0.25">
      <c r="A17" s="289" t="s">
        <v>1016</v>
      </c>
      <c r="B17" s="288"/>
      <c r="C17" s="293" t="s">
        <v>1376</v>
      </c>
      <c r="D17" s="289" t="s">
        <v>1016</v>
      </c>
      <c r="E17" s="293"/>
      <c r="F17" s="293" t="s">
        <v>967</v>
      </c>
      <c r="G17" s="288"/>
      <c r="H17" s="711"/>
      <c r="I17" s="293" t="s">
        <v>952</v>
      </c>
      <c r="J17" s="289" t="s">
        <v>1322</v>
      </c>
      <c r="K17" s="289"/>
      <c r="L17" s="293" t="s">
        <v>952</v>
      </c>
      <c r="N17" s="261"/>
    </row>
    <row r="18" spans="1:14" ht="15.75" customHeight="1" x14ac:dyDescent="0.25">
      <c r="A18" s="296" t="s">
        <v>181</v>
      </c>
      <c r="B18" s="296" t="s">
        <v>185</v>
      </c>
      <c r="C18" s="296" t="s">
        <v>1372</v>
      </c>
      <c r="D18" s="296" t="s">
        <v>183</v>
      </c>
      <c r="E18" s="348" t="s">
        <v>1395</v>
      </c>
      <c r="F18" s="296" t="s">
        <v>223</v>
      </c>
      <c r="G18" s="296" t="s">
        <v>188</v>
      </c>
      <c r="H18" s="273" t="s">
        <v>184</v>
      </c>
      <c r="I18" s="348" t="s">
        <v>191</v>
      </c>
      <c r="J18" s="348" t="s">
        <v>246</v>
      </c>
      <c r="K18" s="348" t="s">
        <v>258</v>
      </c>
      <c r="L18" s="348" t="s">
        <v>1249</v>
      </c>
      <c r="N18" s="261"/>
    </row>
    <row r="19" spans="1:14" ht="15.75" customHeight="1" x14ac:dyDescent="0.25">
      <c r="A19" s="293" t="s">
        <v>852</v>
      </c>
      <c r="B19" s="288"/>
      <c r="C19" s="295" t="s">
        <v>788</v>
      </c>
      <c r="D19" s="289" t="s">
        <v>975</v>
      </c>
      <c r="E19" s="295" t="s">
        <v>788</v>
      </c>
      <c r="F19" s="289" t="s">
        <v>955</v>
      </c>
      <c r="G19" s="289" t="s">
        <v>1473</v>
      </c>
      <c r="H19" s="711"/>
      <c r="I19" s="293" t="s">
        <v>854</v>
      </c>
      <c r="J19" s="289" t="s">
        <v>908</v>
      </c>
      <c r="K19" s="288"/>
      <c r="L19" s="295" t="s">
        <v>788</v>
      </c>
      <c r="N19" s="261"/>
    </row>
    <row r="20" spans="1:14" ht="15.75" customHeight="1" x14ac:dyDescent="0.25">
      <c r="A20" s="293" t="s">
        <v>691</v>
      </c>
      <c r="B20" s="288"/>
      <c r="C20" s="294" t="s">
        <v>73</v>
      </c>
      <c r="D20" s="289" t="s">
        <v>165</v>
      </c>
      <c r="E20" s="294" t="s">
        <v>73</v>
      </c>
      <c r="F20" s="289" t="s">
        <v>148</v>
      </c>
      <c r="G20" s="289" t="s">
        <v>148</v>
      </c>
      <c r="H20" s="711"/>
      <c r="I20" s="293" t="s">
        <v>691</v>
      </c>
      <c r="J20" s="289" t="s">
        <v>611</v>
      </c>
      <c r="K20" s="288"/>
      <c r="L20" s="294" t="s">
        <v>73</v>
      </c>
      <c r="N20" s="261"/>
    </row>
    <row r="21" spans="1:14" ht="15.75" customHeight="1" x14ac:dyDescent="0.25">
      <c r="A21" s="293" t="s">
        <v>924</v>
      </c>
      <c r="B21" s="288"/>
      <c r="C21" s="289" t="s">
        <v>1449</v>
      </c>
      <c r="D21" s="289" t="s">
        <v>1400</v>
      </c>
      <c r="E21" s="289" t="s">
        <v>1258</v>
      </c>
      <c r="F21" s="289" t="s">
        <v>956</v>
      </c>
      <c r="G21" s="289" t="s">
        <v>1475</v>
      </c>
      <c r="H21" s="711"/>
      <c r="I21" s="293" t="s">
        <v>1397</v>
      </c>
      <c r="J21" s="289" t="s">
        <v>910</v>
      </c>
      <c r="K21" s="288"/>
      <c r="L21" s="289" t="s">
        <v>1459</v>
      </c>
      <c r="N21" s="261"/>
    </row>
    <row r="22" spans="1:14" ht="15.75" customHeight="1" x14ac:dyDescent="0.25">
      <c r="A22" s="293" t="s">
        <v>41</v>
      </c>
      <c r="B22" s="288"/>
      <c r="C22" s="290" t="s">
        <v>161</v>
      </c>
      <c r="D22" s="290" t="s">
        <v>161</v>
      </c>
      <c r="E22" s="290" t="s">
        <v>161</v>
      </c>
      <c r="F22" s="290" t="s">
        <v>161</v>
      </c>
      <c r="G22" s="290" t="s">
        <v>1476</v>
      </c>
      <c r="H22" s="711"/>
      <c r="I22" s="293" t="s">
        <v>1346</v>
      </c>
      <c r="J22" s="293" t="s">
        <v>41</v>
      </c>
      <c r="K22" s="288"/>
      <c r="L22" s="290" t="s">
        <v>161</v>
      </c>
      <c r="N22" s="261"/>
    </row>
    <row r="23" spans="1:14" ht="15.75" customHeight="1" x14ac:dyDescent="0.25">
      <c r="A23" s="293" t="s">
        <v>31</v>
      </c>
      <c r="B23" s="288"/>
      <c r="C23" s="293" t="s">
        <v>1060</v>
      </c>
      <c r="D23" s="290" t="s">
        <v>1060</v>
      </c>
      <c r="E23" s="293" t="s">
        <v>1060</v>
      </c>
      <c r="F23" s="290" t="s">
        <v>163</v>
      </c>
      <c r="G23" s="290" t="s">
        <v>1104</v>
      </c>
      <c r="H23" s="711"/>
      <c r="I23" s="293" t="s">
        <v>1396</v>
      </c>
      <c r="J23" s="290" t="s">
        <v>1060</v>
      </c>
      <c r="K23" s="288"/>
      <c r="L23" s="293" t="s">
        <v>1046</v>
      </c>
      <c r="N23" s="261"/>
    </row>
    <row r="24" spans="1:14" ht="15.75" customHeight="1" x14ac:dyDescent="0.25">
      <c r="A24" s="293" t="s">
        <v>853</v>
      </c>
      <c r="B24" s="288"/>
      <c r="C24" s="293" t="s">
        <v>149</v>
      </c>
      <c r="D24" s="290" t="s">
        <v>99</v>
      </c>
      <c r="E24" s="293" t="s">
        <v>149</v>
      </c>
      <c r="F24" s="290" t="s">
        <v>735</v>
      </c>
      <c r="G24" s="290" t="s">
        <v>929</v>
      </c>
      <c r="H24" s="711"/>
      <c r="I24" s="293" t="s">
        <v>842</v>
      </c>
      <c r="J24" s="290" t="s">
        <v>19</v>
      </c>
      <c r="K24" s="288"/>
      <c r="L24" s="293" t="s">
        <v>149</v>
      </c>
      <c r="N24" s="261"/>
    </row>
    <row r="25" spans="1:14" ht="15.75" customHeight="1" x14ac:dyDescent="0.25">
      <c r="A25" s="293" t="s">
        <v>849</v>
      </c>
      <c r="B25" s="288"/>
      <c r="C25" s="294" t="s">
        <v>530</v>
      </c>
      <c r="D25" s="289" t="s">
        <v>849</v>
      </c>
      <c r="E25" s="294" t="s">
        <v>530</v>
      </c>
      <c r="F25" s="289" t="s">
        <v>480</v>
      </c>
      <c r="G25" s="289" t="s">
        <v>1474</v>
      </c>
      <c r="H25" s="711"/>
      <c r="I25" s="293" t="s">
        <v>849</v>
      </c>
      <c r="J25" s="289" t="s">
        <v>893</v>
      </c>
      <c r="K25" s="288"/>
      <c r="L25" s="294" t="s">
        <v>530</v>
      </c>
      <c r="N25" s="261"/>
    </row>
    <row r="26" spans="1:14" ht="15.75" customHeight="1" x14ac:dyDescent="0.25">
      <c r="A26" s="293" t="s">
        <v>15</v>
      </c>
      <c r="B26" s="288"/>
      <c r="C26" s="294" t="s">
        <v>162</v>
      </c>
      <c r="D26" s="289" t="s">
        <v>162</v>
      </c>
      <c r="E26" s="294" t="s">
        <v>162</v>
      </c>
      <c r="F26" s="289" t="s">
        <v>13</v>
      </c>
      <c r="G26" s="289" t="s">
        <v>930</v>
      </c>
      <c r="H26" s="711"/>
      <c r="I26" s="293" t="s">
        <v>15</v>
      </c>
      <c r="J26" s="289" t="s">
        <v>162</v>
      </c>
      <c r="K26" s="288"/>
      <c r="L26" s="294" t="s">
        <v>150</v>
      </c>
      <c r="N26" s="261"/>
    </row>
    <row r="27" spans="1:14" ht="15.75" customHeight="1" x14ac:dyDescent="0.25">
      <c r="A27" s="293" t="s">
        <v>164</v>
      </c>
      <c r="B27" s="288"/>
      <c r="C27" s="294" t="s">
        <v>51</v>
      </c>
      <c r="D27" s="289" t="s">
        <v>205</v>
      </c>
      <c r="E27" s="294" t="s">
        <v>51</v>
      </c>
      <c r="F27" s="289" t="s">
        <v>164</v>
      </c>
      <c r="G27" s="289" t="s">
        <v>203</v>
      </c>
      <c r="H27" s="711"/>
      <c r="I27" s="293" t="s">
        <v>164</v>
      </c>
      <c r="J27" s="289" t="s">
        <v>164</v>
      </c>
      <c r="K27" s="288"/>
      <c r="L27" s="294" t="s">
        <v>51</v>
      </c>
      <c r="N27" s="261"/>
    </row>
    <row r="28" spans="1:14" ht="15.75" customHeight="1" x14ac:dyDescent="0.25">
      <c r="A28" s="293" t="s">
        <v>1089</v>
      </c>
      <c r="B28" s="288"/>
      <c r="C28" s="289" t="s">
        <v>1041</v>
      </c>
      <c r="D28" s="289" t="s">
        <v>1089</v>
      </c>
      <c r="E28" s="289" t="s">
        <v>1041</v>
      </c>
      <c r="F28" s="289" t="s">
        <v>974</v>
      </c>
      <c r="G28" s="289" t="s">
        <v>1089</v>
      </c>
      <c r="H28" s="711"/>
      <c r="I28" s="293" t="s">
        <v>974</v>
      </c>
      <c r="J28" s="289" t="s">
        <v>1086</v>
      </c>
      <c r="K28" s="288"/>
      <c r="L28" s="289" t="s">
        <v>983</v>
      </c>
      <c r="N28" s="261"/>
    </row>
    <row r="29" spans="1:14" ht="15.75" customHeight="1" x14ac:dyDescent="0.25">
      <c r="A29" s="293" t="s">
        <v>1375</v>
      </c>
      <c r="B29" s="288"/>
      <c r="C29" s="295" t="s">
        <v>1460</v>
      </c>
      <c r="D29" s="289" t="s">
        <v>1039</v>
      </c>
      <c r="E29" s="295" t="s">
        <v>1075</v>
      </c>
      <c r="F29" s="289" t="s">
        <v>947</v>
      </c>
      <c r="G29" s="289" t="s">
        <v>1042</v>
      </c>
      <c r="H29" s="711"/>
      <c r="I29" s="293" t="s">
        <v>1454</v>
      </c>
      <c r="J29" s="289" t="s">
        <v>943</v>
      </c>
      <c r="K29" s="288"/>
      <c r="L29" s="295" t="s">
        <v>1067</v>
      </c>
      <c r="N29" s="261"/>
    </row>
    <row r="30" spans="1:14" ht="15.75" customHeight="1" x14ac:dyDescent="0.25">
      <c r="A30" s="293" t="s">
        <v>953</v>
      </c>
      <c r="B30" s="288"/>
      <c r="C30" s="294" t="s">
        <v>1066</v>
      </c>
      <c r="D30" s="289" t="s">
        <v>1200</v>
      </c>
      <c r="E30" s="294" t="s">
        <v>1252</v>
      </c>
      <c r="F30" s="289" t="s">
        <v>954</v>
      </c>
      <c r="G30" s="289" t="s">
        <v>994</v>
      </c>
      <c r="H30" s="711"/>
      <c r="I30" s="293" t="s">
        <v>1107</v>
      </c>
      <c r="J30" s="293" t="s">
        <v>952</v>
      </c>
      <c r="K30" s="288"/>
      <c r="L30" s="294" t="s">
        <v>1033</v>
      </c>
      <c r="N30" s="261"/>
    </row>
    <row r="31" spans="1:14" ht="15.75" customHeight="1" x14ac:dyDescent="0.25">
      <c r="A31" s="296" t="s">
        <v>181</v>
      </c>
      <c r="B31" s="296" t="s">
        <v>185</v>
      </c>
      <c r="C31" s="296" t="s">
        <v>182</v>
      </c>
      <c r="D31" s="296" t="s">
        <v>183</v>
      </c>
      <c r="E31" s="296" t="s">
        <v>192</v>
      </c>
      <c r="F31" s="296" t="s">
        <v>1477</v>
      </c>
      <c r="G31" s="296" t="s">
        <v>188</v>
      </c>
      <c r="H31" s="273" t="s">
        <v>184</v>
      </c>
      <c r="I31" s="348" t="s">
        <v>191</v>
      </c>
      <c r="J31" s="348" t="s">
        <v>246</v>
      </c>
      <c r="K31" s="348" t="s">
        <v>258</v>
      </c>
      <c r="L31" s="348" t="s">
        <v>743</v>
      </c>
      <c r="N31" s="261"/>
    </row>
    <row r="32" spans="1:14" ht="15.75" customHeight="1" x14ac:dyDescent="0.25">
      <c r="A32" s="293" t="s">
        <v>690</v>
      </c>
      <c r="B32" s="289"/>
      <c r="C32" s="289" t="s">
        <v>1275</v>
      </c>
      <c r="D32" s="289" t="s">
        <v>1270</v>
      </c>
      <c r="E32" s="295" t="s">
        <v>1292</v>
      </c>
      <c r="F32" s="295" t="s">
        <v>788</v>
      </c>
      <c r="G32" s="293" t="s">
        <v>895</v>
      </c>
      <c r="H32" s="295"/>
      <c r="I32" s="293" t="s">
        <v>854</v>
      </c>
      <c r="J32" s="289" t="s">
        <v>911</v>
      </c>
      <c r="K32" s="288"/>
      <c r="L32" s="289" t="s">
        <v>1261</v>
      </c>
      <c r="N32" s="261"/>
    </row>
    <row r="33" spans="1:14" ht="15.75" customHeight="1" x14ac:dyDescent="0.25">
      <c r="A33" s="293" t="s">
        <v>73</v>
      </c>
      <c r="B33" s="289"/>
      <c r="C33" s="289" t="s">
        <v>148</v>
      </c>
      <c r="D33" s="289" t="s">
        <v>148</v>
      </c>
      <c r="E33" s="294" t="s">
        <v>73</v>
      </c>
      <c r="F33" s="294" t="s">
        <v>73</v>
      </c>
      <c r="G33" s="293" t="s">
        <v>691</v>
      </c>
      <c r="H33" s="294"/>
      <c r="I33" s="293" t="s">
        <v>691</v>
      </c>
      <c r="J33" s="289" t="s">
        <v>611</v>
      </c>
      <c r="K33" s="288"/>
      <c r="L33" s="289" t="s">
        <v>148</v>
      </c>
      <c r="N33" s="261"/>
    </row>
    <row r="34" spans="1:14" ht="15.75" customHeight="1" x14ac:dyDescent="0.25">
      <c r="A34" s="293" t="s">
        <v>1259</v>
      </c>
      <c r="B34" s="289"/>
      <c r="C34" s="289" t="s">
        <v>1274</v>
      </c>
      <c r="D34" s="289" t="s">
        <v>1271</v>
      </c>
      <c r="E34" s="289" t="s">
        <v>1293</v>
      </c>
      <c r="F34" s="289" t="s">
        <v>1449</v>
      </c>
      <c r="G34" s="293" t="s">
        <v>924</v>
      </c>
      <c r="H34" s="289"/>
      <c r="I34" s="293" t="s">
        <v>1108</v>
      </c>
      <c r="J34" s="289" t="s">
        <v>1398</v>
      </c>
      <c r="K34" s="288"/>
      <c r="L34" s="289" t="s">
        <v>1262</v>
      </c>
      <c r="N34" s="261"/>
    </row>
    <row r="35" spans="1:14" ht="15.75" customHeight="1" x14ac:dyDescent="0.25">
      <c r="A35" s="293" t="s">
        <v>41</v>
      </c>
      <c r="B35" s="290"/>
      <c r="C35" s="290" t="s">
        <v>161</v>
      </c>
      <c r="D35" s="290" t="s">
        <v>161</v>
      </c>
      <c r="E35" s="290" t="s">
        <v>161</v>
      </c>
      <c r="F35" s="290" t="s">
        <v>161</v>
      </c>
      <c r="G35" s="293" t="s">
        <v>41</v>
      </c>
      <c r="H35" s="290"/>
      <c r="I35" s="293" t="s">
        <v>41</v>
      </c>
      <c r="J35" s="293" t="s">
        <v>847</v>
      </c>
      <c r="K35" s="288"/>
      <c r="L35" s="290" t="s">
        <v>161</v>
      </c>
      <c r="N35" s="261"/>
    </row>
    <row r="36" spans="1:14" ht="15.75" customHeight="1" x14ac:dyDescent="0.25">
      <c r="A36" s="293" t="s">
        <v>163</v>
      </c>
      <c r="B36" s="290"/>
      <c r="C36" s="290" t="s">
        <v>1060</v>
      </c>
      <c r="D36" s="290" t="s">
        <v>1060</v>
      </c>
      <c r="E36" s="293" t="s">
        <v>1297</v>
      </c>
      <c r="F36" s="293" t="s">
        <v>1046</v>
      </c>
      <c r="G36" s="293" t="s">
        <v>31</v>
      </c>
      <c r="H36" s="293"/>
      <c r="I36" s="293" t="s">
        <v>31</v>
      </c>
      <c r="J36" s="290" t="s">
        <v>795</v>
      </c>
      <c r="K36" s="288"/>
      <c r="L36" s="290" t="s">
        <v>31</v>
      </c>
      <c r="N36" s="261"/>
    </row>
    <row r="37" spans="1:14" ht="15.75" customHeight="1" x14ac:dyDescent="0.25">
      <c r="A37" s="293" t="s">
        <v>744</v>
      </c>
      <c r="B37" s="290"/>
      <c r="C37" s="290" t="s">
        <v>19</v>
      </c>
      <c r="D37" s="290" t="s">
        <v>50</v>
      </c>
      <c r="E37" s="293" t="s">
        <v>801</v>
      </c>
      <c r="F37" s="293" t="s">
        <v>149</v>
      </c>
      <c r="G37" s="293" t="s">
        <v>842</v>
      </c>
      <c r="H37" s="293"/>
      <c r="I37" s="293" t="s">
        <v>842</v>
      </c>
      <c r="J37" s="290" t="s">
        <v>99</v>
      </c>
      <c r="K37" s="288"/>
      <c r="L37" s="290" t="s">
        <v>49</v>
      </c>
      <c r="N37" s="261"/>
    </row>
    <row r="38" spans="1:14" ht="15.75" customHeight="1" x14ac:dyDescent="0.25">
      <c r="A38" s="293" t="s">
        <v>147</v>
      </c>
      <c r="B38" s="289"/>
      <c r="C38" s="289" t="s">
        <v>849</v>
      </c>
      <c r="D38" s="289" t="s">
        <v>851</v>
      </c>
      <c r="E38" s="294" t="s">
        <v>1295</v>
      </c>
      <c r="F38" s="294" t="s">
        <v>530</v>
      </c>
      <c r="G38" s="293" t="s">
        <v>849</v>
      </c>
      <c r="H38" s="294"/>
      <c r="I38" s="293" t="s">
        <v>849</v>
      </c>
      <c r="J38" s="289" t="s">
        <v>893</v>
      </c>
      <c r="K38" s="288"/>
      <c r="L38" s="289" t="s">
        <v>849</v>
      </c>
      <c r="N38" s="261"/>
    </row>
    <row r="39" spans="1:14" ht="15.75" customHeight="1" x14ac:dyDescent="0.25">
      <c r="A39" s="293" t="s">
        <v>13</v>
      </c>
      <c r="B39" s="289"/>
      <c r="C39" s="289" t="s">
        <v>162</v>
      </c>
      <c r="D39" s="289" t="s">
        <v>162</v>
      </c>
      <c r="E39" s="294" t="s">
        <v>1294</v>
      </c>
      <c r="F39" s="294" t="s">
        <v>150</v>
      </c>
      <c r="G39" s="293" t="s">
        <v>15</v>
      </c>
      <c r="H39" s="294"/>
      <c r="I39" s="293" t="s">
        <v>15</v>
      </c>
      <c r="J39" s="289" t="s">
        <v>162</v>
      </c>
      <c r="K39" s="288"/>
      <c r="L39" s="289" t="s">
        <v>15</v>
      </c>
      <c r="N39" s="261"/>
    </row>
    <row r="40" spans="1:14" ht="15.75" customHeight="1" x14ac:dyDescent="0.25">
      <c r="A40" s="293" t="s">
        <v>432</v>
      </c>
      <c r="B40" s="289"/>
      <c r="C40" s="289" t="s">
        <v>203</v>
      </c>
      <c r="D40" s="289" t="s">
        <v>164</v>
      </c>
      <c r="E40" s="294" t="s">
        <v>1296</v>
      </c>
      <c r="F40" s="294" t="s">
        <v>51</v>
      </c>
      <c r="G40" s="293" t="s">
        <v>164</v>
      </c>
      <c r="H40" s="294"/>
      <c r="I40" s="293" t="s">
        <v>164</v>
      </c>
      <c r="J40" s="289" t="s">
        <v>164</v>
      </c>
      <c r="K40" s="288"/>
      <c r="L40" s="289" t="s">
        <v>164</v>
      </c>
      <c r="N40" s="261"/>
    </row>
    <row r="41" spans="1:14" ht="15.75" customHeight="1" x14ac:dyDescent="0.25">
      <c r="A41" s="293" t="s">
        <v>1124</v>
      </c>
      <c r="B41" s="289"/>
      <c r="C41" s="289" t="s">
        <v>1146</v>
      </c>
      <c r="D41" s="289" t="s">
        <v>1174</v>
      </c>
      <c r="E41" s="289" t="s">
        <v>1238</v>
      </c>
      <c r="F41" s="289" t="s">
        <v>1041</v>
      </c>
      <c r="G41" s="293" t="s">
        <v>1109</v>
      </c>
      <c r="H41" s="289"/>
      <c r="I41" s="293" t="s">
        <v>1146</v>
      </c>
      <c r="J41" s="289" t="s">
        <v>974</v>
      </c>
      <c r="K41" s="288"/>
      <c r="L41" s="289" t="s">
        <v>1069</v>
      </c>
      <c r="N41" s="261"/>
    </row>
    <row r="42" spans="1:14" ht="15.75" customHeight="1" x14ac:dyDescent="0.25">
      <c r="A42" s="293" t="s">
        <v>1471</v>
      </c>
      <c r="B42" s="289"/>
      <c r="C42" s="289" t="s">
        <v>1186</v>
      </c>
      <c r="D42" s="289" t="s">
        <v>1061</v>
      </c>
      <c r="E42" s="295" t="s">
        <v>1298</v>
      </c>
      <c r="F42" s="295" t="s">
        <v>1067</v>
      </c>
      <c r="G42" s="293" t="s">
        <v>1112</v>
      </c>
      <c r="H42" s="295"/>
      <c r="I42" s="293" t="s">
        <v>1478</v>
      </c>
      <c r="J42" s="289" t="s">
        <v>936</v>
      </c>
      <c r="K42" s="288"/>
      <c r="L42" s="289" t="s">
        <v>1172</v>
      </c>
      <c r="N42" s="261"/>
    </row>
    <row r="43" spans="1:14" ht="15.75" customHeight="1" x14ac:dyDescent="0.25">
      <c r="A43" s="293" t="s">
        <v>1260</v>
      </c>
      <c r="B43" s="289"/>
      <c r="C43" s="289" t="s">
        <v>1185</v>
      </c>
      <c r="D43" s="289" t="s">
        <v>1185</v>
      </c>
      <c r="E43" s="294" t="s">
        <v>1084</v>
      </c>
      <c r="F43" s="294" t="s">
        <v>1066</v>
      </c>
      <c r="G43" s="293" t="s">
        <v>1110</v>
      </c>
      <c r="H43" s="294"/>
      <c r="I43" s="293" t="s">
        <v>1111</v>
      </c>
      <c r="J43" s="293" t="s">
        <v>952</v>
      </c>
      <c r="K43" s="288"/>
      <c r="L43" s="289" t="s">
        <v>1185</v>
      </c>
      <c r="N43" s="261"/>
    </row>
    <row r="44" spans="1:14" ht="15.75" customHeight="1" x14ac:dyDescent="0.25">
      <c r="A44" s="296" t="s">
        <v>181</v>
      </c>
      <c r="B44" s="296" t="s">
        <v>185</v>
      </c>
      <c r="C44" s="296" t="s">
        <v>182</v>
      </c>
      <c r="D44" s="296" t="s">
        <v>183</v>
      </c>
      <c r="E44" s="296" t="s">
        <v>192</v>
      </c>
      <c r="F44" s="296" t="s">
        <v>223</v>
      </c>
      <c r="G44" s="296" t="s">
        <v>188</v>
      </c>
      <c r="H44" s="273" t="s">
        <v>184</v>
      </c>
      <c r="I44" s="348" t="s">
        <v>1722</v>
      </c>
      <c r="J44" s="348" t="s">
        <v>246</v>
      </c>
      <c r="K44" s="348" t="s">
        <v>258</v>
      </c>
      <c r="L44" s="348" t="s">
        <v>743</v>
      </c>
      <c r="N44" s="261"/>
    </row>
    <row r="45" spans="1:14" ht="15.75" customHeight="1" x14ac:dyDescent="0.25">
      <c r="A45" s="289" t="s">
        <v>1263</v>
      </c>
      <c r="B45" s="289"/>
      <c r="C45" s="289" t="s">
        <v>1278</v>
      </c>
      <c r="D45" s="289" t="s">
        <v>1272</v>
      </c>
      <c r="E45" s="295" t="s">
        <v>1100</v>
      </c>
      <c r="F45" s="291" t="s">
        <v>1114</v>
      </c>
      <c r="G45" s="295" t="s">
        <v>1640</v>
      </c>
      <c r="H45" s="289" t="s">
        <v>1283</v>
      </c>
      <c r="I45" s="295" t="s">
        <v>1719</v>
      </c>
      <c r="J45" s="289" t="s">
        <v>962</v>
      </c>
      <c r="K45" s="288"/>
      <c r="L45" s="293" t="s">
        <v>1649</v>
      </c>
      <c r="N45" s="261"/>
    </row>
    <row r="46" spans="1:14" ht="15.75" customHeight="1" x14ac:dyDescent="0.25">
      <c r="A46" s="289" t="s">
        <v>148</v>
      </c>
      <c r="B46" s="289"/>
      <c r="C46" s="289" t="s">
        <v>148</v>
      </c>
      <c r="D46" s="289" t="s">
        <v>148</v>
      </c>
      <c r="E46" s="294" t="s">
        <v>73</v>
      </c>
      <c r="F46" s="293" t="s">
        <v>691</v>
      </c>
      <c r="G46" s="294" t="s">
        <v>1641</v>
      </c>
      <c r="H46" s="289" t="s">
        <v>611</v>
      </c>
      <c r="I46" s="294" t="s">
        <v>1641</v>
      </c>
      <c r="J46" s="289" t="s">
        <v>148</v>
      </c>
      <c r="K46" s="288"/>
      <c r="L46" s="293" t="s">
        <v>691</v>
      </c>
      <c r="N46" s="261"/>
    </row>
    <row r="47" spans="1:14" ht="15.75" customHeight="1" x14ac:dyDescent="0.25">
      <c r="A47" s="289" t="s">
        <v>1264</v>
      </c>
      <c r="B47" s="289"/>
      <c r="C47" s="289" t="s">
        <v>1279</v>
      </c>
      <c r="D47" s="289" t="s">
        <v>1273</v>
      </c>
      <c r="E47" s="289" t="s">
        <v>1638</v>
      </c>
      <c r="F47" s="293" t="s">
        <v>1113</v>
      </c>
      <c r="G47" s="289" t="s">
        <v>1642</v>
      </c>
      <c r="H47" s="289" t="s">
        <v>1284</v>
      </c>
      <c r="I47" s="289" t="s">
        <v>1720</v>
      </c>
      <c r="J47" s="289" t="s">
        <v>1339</v>
      </c>
      <c r="K47" s="288"/>
      <c r="L47" s="293" t="s">
        <v>1650</v>
      </c>
      <c r="N47" s="261"/>
    </row>
    <row r="48" spans="1:14" ht="15.75" customHeight="1" x14ac:dyDescent="0.25">
      <c r="A48" s="290" t="s">
        <v>161</v>
      </c>
      <c r="B48" s="290"/>
      <c r="C48" s="290" t="s">
        <v>161</v>
      </c>
      <c r="D48" s="290" t="s">
        <v>161</v>
      </c>
      <c r="E48" s="293" t="s">
        <v>41</v>
      </c>
      <c r="F48" s="293" t="s">
        <v>41</v>
      </c>
      <c r="G48" s="293" t="s">
        <v>41</v>
      </c>
      <c r="H48" s="293" t="s">
        <v>41</v>
      </c>
      <c r="I48" s="293" t="s">
        <v>41</v>
      </c>
      <c r="J48" s="290" t="s">
        <v>845</v>
      </c>
      <c r="K48" s="288"/>
      <c r="L48" s="293" t="s">
        <v>41</v>
      </c>
      <c r="N48" s="261"/>
    </row>
    <row r="49" spans="1:14" ht="15.75" customHeight="1" x14ac:dyDescent="0.25">
      <c r="A49" s="290" t="s">
        <v>1060</v>
      </c>
      <c r="B49" s="290"/>
      <c r="C49" s="290" t="s">
        <v>1060</v>
      </c>
      <c r="D49" s="290" t="s">
        <v>31</v>
      </c>
      <c r="E49" s="293" t="s">
        <v>1104</v>
      </c>
      <c r="F49" s="293" t="s">
        <v>31</v>
      </c>
      <c r="G49" s="293" t="s">
        <v>1119</v>
      </c>
      <c r="H49" s="290" t="s">
        <v>1119</v>
      </c>
      <c r="I49" s="293" t="s">
        <v>1119</v>
      </c>
      <c r="J49" s="290" t="s">
        <v>795</v>
      </c>
      <c r="K49" s="288"/>
      <c r="L49" s="293" t="s">
        <v>31</v>
      </c>
      <c r="N49" s="261"/>
    </row>
    <row r="50" spans="1:14" ht="15.75" customHeight="1" x14ac:dyDescent="0.25">
      <c r="A50" s="290" t="s">
        <v>19</v>
      </c>
      <c r="B50" s="290"/>
      <c r="C50" s="290" t="s">
        <v>19</v>
      </c>
      <c r="D50" s="290" t="s">
        <v>49</v>
      </c>
      <c r="E50" s="293" t="s">
        <v>1105</v>
      </c>
      <c r="F50" s="293" t="s">
        <v>842</v>
      </c>
      <c r="G50" s="293" t="s">
        <v>1644</v>
      </c>
      <c r="H50" s="290" t="s">
        <v>929</v>
      </c>
      <c r="I50" s="293" t="s">
        <v>1644</v>
      </c>
      <c r="J50" s="290" t="s">
        <v>507</v>
      </c>
      <c r="K50" s="288"/>
      <c r="L50" s="293" t="s">
        <v>842</v>
      </c>
      <c r="N50" s="261"/>
    </row>
    <row r="51" spans="1:14" ht="15.75" customHeight="1" x14ac:dyDescent="0.25">
      <c r="A51" s="289" t="s">
        <v>849</v>
      </c>
      <c r="B51" s="289"/>
      <c r="C51" s="289" t="s">
        <v>849</v>
      </c>
      <c r="D51" s="289" t="s">
        <v>893</v>
      </c>
      <c r="E51" s="294" t="s">
        <v>1106</v>
      </c>
      <c r="F51" s="293" t="s">
        <v>849</v>
      </c>
      <c r="G51" s="294" t="s">
        <v>1643</v>
      </c>
      <c r="H51" s="289" t="s">
        <v>1285</v>
      </c>
      <c r="I51" s="294" t="s">
        <v>1643</v>
      </c>
      <c r="J51" s="289" t="s">
        <v>377</v>
      </c>
      <c r="K51" s="288"/>
      <c r="L51" s="293" t="s">
        <v>849</v>
      </c>
      <c r="N51" s="261"/>
    </row>
    <row r="52" spans="1:14" ht="15.75" customHeight="1" x14ac:dyDescent="0.25">
      <c r="A52" s="289" t="s">
        <v>162</v>
      </c>
      <c r="B52" s="289"/>
      <c r="C52" s="289" t="s">
        <v>162</v>
      </c>
      <c r="D52" s="289" t="s">
        <v>15</v>
      </c>
      <c r="E52" s="294" t="s">
        <v>930</v>
      </c>
      <c r="F52" s="293" t="s">
        <v>15</v>
      </c>
      <c r="G52" s="294" t="s">
        <v>1118</v>
      </c>
      <c r="H52" s="289" t="s">
        <v>162</v>
      </c>
      <c r="I52" s="294" t="s">
        <v>1118</v>
      </c>
      <c r="J52" s="289" t="s">
        <v>162</v>
      </c>
      <c r="K52" s="288"/>
      <c r="L52" s="293" t="s">
        <v>15</v>
      </c>
      <c r="N52" s="261"/>
    </row>
    <row r="53" spans="1:14" ht="15.75" customHeight="1" x14ac:dyDescent="0.25">
      <c r="A53" s="289" t="s">
        <v>164</v>
      </c>
      <c r="B53" s="289"/>
      <c r="C53" s="289" t="s">
        <v>164</v>
      </c>
      <c r="D53" s="289" t="s">
        <v>164</v>
      </c>
      <c r="E53" s="294" t="s">
        <v>205</v>
      </c>
      <c r="F53" s="293" t="s">
        <v>164</v>
      </c>
      <c r="G53" s="294" t="s">
        <v>205</v>
      </c>
      <c r="H53" s="289" t="s">
        <v>164</v>
      </c>
      <c r="I53" s="294" t="s">
        <v>205</v>
      </c>
      <c r="J53" s="289" t="s">
        <v>203</v>
      </c>
      <c r="K53" s="288"/>
      <c r="L53" s="293" t="s">
        <v>164</v>
      </c>
      <c r="N53" s="261"/>
    </row>
    <row r="54" spans="1:14" ht="15.75" customHeight="1" x14ac:dyDescent="0.25">
      <c r="A54" s="289" t="s">
        <v>1146</v>
      </c>
      <c r="B54" s="289"/>
      <c r="C54" s="289" t="s">
        <v>1228</v>
      </c>
      <c r="D54" s="289" t="s">
        <v>1103</v>
      </c>
      <c r="E54" s="289" t="s">
        <v>1230</v>
      </c>
      <c r="F54" s="293" t="s">
        <v>1069</v>
      </c>
      <c r="G54" s="289" t="s">
        <v>1103</v>
      </c>
      <c r="H54" s="289" t="s">
        <v>1225</v>
      </c>
      <c r="I54" s="289" t="s">
        <v>1225</v>
      </c>
      <c r="J54" s="289" t="s">
        <v>974</v>
      </c>
      <c r="K54" s="288"/>
      <c r="L54" s="293" t="s">
        <v>1228</v>
      </c>
      <c r="N54" s="261"/>
    </row>
    <row r="55" spans="1:14" ht="15.75" customHeight="1" x14ac:dyDescent="0.25">
      <c r="A55" s="289" t="s">
        <v>1186</v>
      </c>
      <c r="B55" s="289"/>
      <c r="C55" s="289" t="s">
        <v>1557</v>
      </c>
      <c r="D55" s="289" t="s">
        <v>1163</v>
      </c>
      <c r="E55" s="295" t="s">
        <v>1482</v>
      </c>
      <c r="F55" s="293" t="s">
        <v>1468</v>
      </c>
      <c r="G55" s="295" t="s">
        <v>1531</v>
      </c>
      <c r="H55" s="289" t="s">
        <v>1172</v>
      </c>
      <c r="I55" s="295" t="s">
        <v>1721</v>
      </c>
      <c r="J55" s="289" t="s">
        <v>943</v>
      </c>
      <c r="K55" s="288"/>
      <c r="L55" s="293" t="s">
        <v>1652</v>
      </c>
      <c r="N55" s="261"/>
    </row>
    <row r="56" spans="1:14" ht="15.75" customHeight="1" x14ac:dyDescent="0.25">
      <c r="A56" s="289" t="s">
        <v>1209</v>
      </c>
      <c r="B56" s="289"/>
      <c r="C56" s="289" t="s">
        <v>1209</v>
      </c>
      <c r="D56" s="289" t="s">
        <v>1195</v>
      </c>
      <c r="E56" s="294" t="s">
        <v>1639</v>
      </c>
      <c r="F56" s="293" t="s">
        <v>1115</v>
      </c>
      <c r="G56" s="294" t="s">
        <v>1639</v>
      </c>
      <c r="H56" s="289" t="s">
        <v>1282</v>
      </c>
      <c r="I56" s="294" t="s">
        <v>1639</v>
      </c>
      <c r="J56" s="289" t="s">
        <v>994</v>
      </c>
      <c r="K56" s="288"/>
      <c r="L56" s="293" t="s">
        <v>1651</v>
      </c>
      <c r="N56" s="261"/>
    </row>
    <row r="57" spans="1:14" ht="15.75" customHeight="1" x14ac:dyDescent="0.25">
      <c r="A57" s="296" t="s">
        <v>181</v>
      </c>
      <c r="B57" s="296" t="s">
        <v>185</v>
      </c>
      <c r="C57" s="296" t="s">
        <v>182</v>
      </c>
      <c r="D57" s="296" t="s">
        <v>183</v>
      </c>
      <c r="E57" s="296" t="s">
        <v>192</v>
      </c>
      <c r="F57" s="296" t="s">
        <v>223</v>
      </c>
      <c r="G57" s="296" t="s">
        <v>1822</v>
      </c>
      <c r="H57" s="273" t="s">
        <v>184</v>
      </c>
      <c r="I57" s="348" t="s">
        <v>191</v>
      </c>
      <c r="J57" s="348" t="s">
        <v>246</v>
      </c>
      <c r="K57" s="348" t="s">
        <v>258</v>
      </c>
      <c r="L57" s="348" t="s">
        <v>743</v>
      </c>
      <c r="N57" s="261"/>
    </row>
    <row r="58" spans="1:14" ht="15.75" customHeight="1" x14ac:dyDescent="0.25">
      <c r="A58" s="289" t="s">
        <v>1266</v>
      </c>
      <c r="B58" s="288"/>
      <c r="C58" s="289" t="s">
        <v>1280</v>
      </c>
      <c r="D58" s="295" t="s">
        <v>1777</v>
      </c>
      <c r="E58" s="295" t="s">
        <v>1100</v>
      </c>
      <c r="F58" s="289" t="s">
        <v>1220</v>
      </c>
      <c r="G58" s="289" t="s">
        <v>1784</v>
      </c>
      <c r="H58" s="289"/>
      <c r="I58" s="295" t="s">
        <v>1196</v>
      </c>
      <c r="J58" s="289" t="s">
        <v>1120</v>
      </c>
      <c r="K58" s="288"/>
      <c r="L58" s="293" t="s">
        <v>1656</v>
      </c>
      <c r="N58" s="261"/>
    </row>
    <row r="59" spans="1:14" ht="15.75" customHeight="1" x14ac:dyDescent="0.25">
      <c r="A59" s="289" t="s">
        <v>148</v>
      </c>
      <c r="B59" s="288"/>
      <c r="C59" s="289" t="s">
        <v>611</v>
      </c>
      <c r="D59" s="294" t="s">
        <v>73</v>
      </c>
      <c r="E59" s="294" t="s">
        <v>73</v>
      </c>
      <c r="F59" s="289" t="s">
        <v>148</v>
      </c>
      <c r="G59" s="289" t="s">
        <v>165</v>
      </c>
      <c r="H59" s="289"/>
      <c r="I59" s="294" t="s">
        <v>73</v>
      </c>
      <c r="J59" s="289" t="s">
        <v>148</v>
      </c>
      <c r="K59" s="288"/>
      <c r="L59" s="293" t="s">
        <v>691</v>
      </c>
      <c r="N59" s="261"/>
    </row>
    <row r="60" spans="1:14" ht="15.75" customHeight="1" x14ac:dyDescent="0.25">
      <c r="A60" s="289" t="s">
        <v>1264</v>
      </c>
      <c r="B60" s="288"/>
      <c r="C60" s="289" t="s">
        <v>1281</v>
      </c>
      <c r="D60" s="289" t="s">
        <v>1761</v>
      </c>
      <c r="E60" s="289" t="s">
        <v>1708</v>
      </c>
      <c r="F60" s="289" t="s">
        <v>1221</v>
      </c>
      <c r="G60" s="289" t="s">
        <v>1823</v>
      </c>
      <c r="H60" s="289"/>
      <c r="I60" s="289" t="s">
        <v>1732</v>
      </c>
      <c r="J60" s="289" t="s">
        <v>971</v>
      </c>
      <c r="K60" s="288"/>
      <c r="L60" s="293" t="s">
        <v>1657</v>
      </c>
      <c r="N60" s="261"/>
    </row>
    <row r="61" spans="1:14" ht="15.75" customHeight="1" x14ac:dyDescent="0.25">
      <c r="A61" s="290" t="s">
        <v>161</v>
      </c>
      <c r="B61" s="288"/>
      <c r="C61" s="293" t="s">
        <v>41</v>
      </c>
      <c r="D61" s="293" t="s">
        <v>41</v>
      </c>
      <c r="E61" s="293" t="s">
        <v>41</v>
      </c>
      <c r="F61" s="290" t="s">
        <v>161</v>
      </c>
      <c r="G61" s="401" t="s">
        <v>41</v>
      </c>
      <c r="H61" s="290"/>
      <c r="I61" s="290" t="s">
        <v>161</v>
      </c>
      <c r="J61" s="290" t="s">
        <v>161</v>
      </c>
      <c r="K61" s="288"/>
      <c r="L61" s="293" t="s">
        <v>41</v>
      </c>
      <c r="N61" s="261"/>
    </row>
    <row r="62" spans="1:14" ht="15.75" customHeight="1" x14ac:dyDescent="0.25">
      <c r="A62" s="290" t="s">
        <v>1060</v>
      </c>
      <c r="B62" s="288"/>
      <c r="C62" s="290" t="s">
        <v>1060</v>
      </c>
      <c r="D62" s="293" t="s">
        <v>31</v>
      </c>
      <c r="E62" s="293" t="s">
        <v>1104</v>
      </c>
      <c r="F62" s="290" t="s">
        <v>1119</v>
      </c>
      <c r="G62" s="401" t="s">
        <v>31</v>
      </c>
      <c r="H62" s="290"/>
      <c r="I62" s="293" t="s">
        <v>1060</v>
      </c>
      <c r="J62" s="290" t="s">
        <v>1119</v>
      </c>
      <c r="K62" s="288"/>
      <c r="L62" s="293" t="s">
        <v>1659</v>
      </c>
      <c r="N62" s="261"/>
    </row>
    <row r="63" spans="1:14" ht="15.75" customHeight="1" x14ac:dyDescent="0.25">
      <c r="A63" s="290" t="s">
        <v>19</v>
      </c>
      <c r="B63" s="288"/>
      <c r="C63" s="290" t="s">
        <v>99</v>
      </c>
      <c r="D63" s="293" t="s">
        <v>744</v>
      </c>
      <c r="E63" s="293" t="s">
        <v>1105</v>
      </c>
      <c r="F63" s="290" t="s">
        <v>453</v>
      </c>
      <c r="G63" s="290" t="s">
        <v>49</v>
      </c>
      <c r="H63" s="290"/>
      <c r="I63" s="293" t="s">
        <v>20</v>
      </c>
      <c r="J63" s="290" t="s">
        <v>882</v>
      </c>
      <c r="K63" s="288"/>
      <c r="L63" s="293" t="s">
        <v>1658</v>
      </c>
      <c r="N63" s="261"/>
    </row>
    <row r="64" spans="1:14" ht="15.75" customHeight="1" x14ac:dyDescent="0.25">
      <c r="A64" s="289" t="s">
        <v>849</v>
      </c>
      <c r="B64" s="288"/>
      <c r="C64" s="289" t="s">
        <v>849</v>
      </c>
      <c r="D64" s="294" t="s">
        <v>1762</v>
      </c>
      <c r="E64" s="294" t="s">
        <v>1106</v>
      </c>
      <c r="F64" s="289" t="s">
        <v>377</v>
      </c>
      <c r="G64" s="289" t="s">
        <v>979</v>
      </c>
      <c r="H64" s="289"/>
      <c r="I64" s="294" t="s">
        <v>1198</v>
      </c>
      <c r="J64" s="289" t="s">
        <v>377</v>
      </c>
      <c r="K64" s="288"/>
      <c r="L64" s="293" t="s">
        <v>849</v>
      </c>
      <c r="N64" s="261"/>
    </row>
    <row r="65" spans="1:14" ht="15.75" customHeight="1" x14ac:dyDescent="0.25">
      <c r="A65" s="289" t="s">
        <v>162</v>
      </c>
      <c r="B65" s="288"/>
      <c r="C65" s="289" t="s">
        <v>162</v>
      </c>
      <c r="D65" s="294" t="s">
        <v>15</v>
      </c>
      <c r="E65" s="294" t="s">
        <v>930</v>
      </c>
      <c r="F65" s="289" t="s">
        <v>1118</v>
      </c>
      <c r="G65" s="289" t="s">
        <v>15</v>
      </c>
      <c r="H65" s="289"/>
      <c r="I65" s="294" t="s">
        <v>150</v>
      </c>
      <c r="J65" s="289" t="s">
        <v>1118</v>
      </c>
      <c r="K65" s="288"/>
      <c r="L65" s="293" t="s">
        <v>1660</v>
      </c>
      <c r="N65" s="261"/>
    </row>
    <row r="66" spans="1:14" ht="15.75" customHeight="1" x14ac:dyDescent="0.25">
      <c r="A66" s="289" t="s">
        <v>164</v>
      </c>
      <c r="B66" s="288"/>
      <c r="C66" s="289" t="s">
        <v>164</v>
      </c>
      <c r="D66" s="294" t="s">
        <v>205</v>
      </c>
      <c r="E66" s="294" t="s">
        <v>205</v>
      </c>
      <c r="F66" s="289" t="s">
        <v>203</v>
      </c>
      <c r="G66" s="289" t="s">
        <v>164</v>
      </c>
      <c r="H66" s="289"/>
      <c r="I66" s="294" t="s">
        <v>1731</v>
      </c>
      <c r="J66" s="289" t="s">
        <v>203</v>
      </c>
      <c r="K66" s="288"/>
      <c r="L66" s="293" t="s">
        <v>164</v>
      </c>
      <c r="N66" s="261"/>
    </row>
    <row r="67" spans="1:14" ht="15.75" customHeight="1" x14ac:dyDescent="0.25">
      <c r="A67" s="289" t="s">
        <v>1472</v>
      </c>
      <c r="B67" s="288"/>
      <c r="C67" s="289" t="s">
        <v>1690</v>
      </c>
      <c r="D67" s="289" t="s">
        <v>1556</v>
      </c>
      <c r="E67" s="289" t="s">
        <v>1690</v>
      </c>
      <c r="F67" s="289" t="s">
        <v>1238</v>
      </c>
      <c r="G67" s="289" t="s">
        <v>1530</v>
      </c>
      <c r="H67" s="289"/>
      <c r="I67" s="289" t="s">
        <v>1598</v>
      </c>
      <c r="J67" s="289" t="s">
        <v>1030</v>
      </c>
      <c r="K67" s="288"/>
      <c r="L67" s="293" t="s">
        <v>1238</v>
      </c>
      <c r="N67" s="261"/>
    </row>
    <row r="68" spans="1:14" ht="15.75" customHeight="1" x14ac:dyDescent="0.25">
      <c r="A68" s="289" t="s">
        <v>1245</v>
      </c>
      <c r="B68" s="288"/>
      <c r="C68" s="289" t="s">
        <v>1730</v>
      </c>
      <c r="D68" s="295" t="s">
        <v>1710</v>
      </c>
      <c r="E68" s="295" t="s">
        <v>1710</v>
      </c>
      <c r="F68" s="289" t="s">
        <v>1149</v>
      </c>
      <c r="G68" s="289" t="s">
        <v>1577</v>
      </c>
      <c r="H68" s="289"/>
      <c r="I68" s="295" t="s">
        <v>1733</v>
      </c>
      <c r="J68" s="289" t="s">
        <v>947</v>
      </c>
      <c r="K68" s="288"/>
      <c r="L68" s="293" t="s">
        <v>1662</v>
      </c>
      <c r="N68" s="261"/>
    </row>
    <row r="69" spans="1:14" ht="15.75" customHeight="1" x14ac:dyDescent="0.25">
      <c r="A69" s="289" t="s">
        <v>1209</v>
      </c>
      <c r="B69" s="288"/>
      <c r="C69" s="289" t="s">
        <v>1282</v>
      </c>
      <c r="D69" s="294" t="s">
        <v>1756</v>
      </c>
      <c r="E69" s="294" t="s">
        <v>1709</v>
      </c>
      <c r="F69" s="289" t="s">
        <v>1185</v>
      </c>
      <c r="G69" s="289" t="s">
        <v>1785</v>
      </c>
      <c r="H69" s="289"/>
      <c r="I69" s="294" t="s">
        <v>1661</v>
      </c>
      <c r="J69" s="289" t="s">
        <v>1026</v>
      </c>
      <c r="K69" s="288"/>
      <c r="L69" s="293" t="s">
        <v>1661</v>
      </c>
      <c r="N69" s="261"/>
    </row>
    <row r="70" spans="1:14" ht="15.75" customHeight="1" x14ac:dyDescent="0.25">
      <c r="A70" s="296" t="s">
        <v>181</v>
      </c>
      <c r="B70" s="296" t="s">
        <v>185</v>
      </c>
      <c r="C70" s="296" t="s">
        <v>182</v>
      </c>
      <c r="D70" s="296" t="s">
        <v>183</v>
      </c>
      <c r="E70" s="296" t="s">
        <v>192</v>
      </c>
      <c r="F70" s="296" t="s">
        <v>223</v>
      </c>
      <c r="G70" s="296" t="s">
        <v>188</v>
      </c>
      <c r="H70" s="273" t="s">
        <v>184</v>
      </c>
      <c r="I70" s="348" t="s">
        <v>191</v>
      </c>
      <c r="J70" s="348" t="s">
        <v>246</v>
      </c>
      <c r="K70" s="348" t="s">
        <v>258</v>
      </c>
      <c r="L70" s="348" t="s">
        <v>694</v>
      </c>
      <c r="N70" s="261"/>
    </row>
    <row r="71" spans="1:14" ht="15.75" customHeight="1" x14ac:dyDescent="0.25">
      <c r="A71" s="289" t="s">
        <v>1574</v>
      </c>
      <c r="B71" s="289"/>
      <c r="C71" s="293" t="s">
        <v>690</v>
      </c>
      <c r="D71" s="289" t="s">
        <v>1088</v>
      </c>
      <c r="E71" s="295" t="s">
        <v>1100</v>
      </c>
      <c r="F71" s="289" t="s">
        <v>1222</v>
      </c>
      <c r="G71" s="288"/>
      <c r="H71" s="289"/>
      <c r="I71" s="288"/>
      <c r="J71" s="289" t="s">
        <v>1117</v>
      </c>
      <c r="K71" s="288"/>
      <c r="L71" s="288"/>
      <c r="N71" s="261"/>
    </row>
    <row r="72" spans="1:14" ht="15.75" customHeight="1" x14ac:dyDescent="0.25">
      <c r="A72" s="289" t="s">
        <v>148</v>
      </c>
      <c r="B72" s="289"/>
      <c r="C72" s="293" t="s">
        <v>73</v>
      </c>
      <c r="D72" s="289" t="s">
        <v>165</v>
      </c>
      <c r="E72" s="294" t="s">
        <v>73</v>
      </c>
      <c r="F72" s="289" t="s">
        <v>148</v>
      </c>
      <c r="G72" s="288"/>
      <c r="H72" s="289"/>
      <c r="I72" s="288"/>
      <c r="J72" s="289" t="s">
        <v>148</v>
      </c>
      <c r="K72" s="288"/>
      <c r="L72" s="288"/>
      <c r="N72" s="261"/>
    </row>
    <row r="73" spans="1:14" ht="15.75" customHeight="1" x14ac:dyDescent="0.25">
      <c r="A73" s="289" t="s">
        <v>1575</v>
      </c>
      <c r="B73" s="289"/>
      <c r="C73" s="293" t="s">
        <v>924</v>
      </c>
      <c r="D73" s="289" t="s">
        <v>1778</v>
      </c>
      <c r="E73" s="289" t="s">
        <v>1711</v>
      </c>
      <c r="F73" s="289" t="s">
        <v>948</v>
      </c>
      <c r="G73" s="288"/>
      <c r="H73" s="289"/>
      <c r="I73" s="288"/>
      <c r="J73" s="289" t="s">
        <v>886</v>
      </c>
      <c r="K73" s="288"/>
      <c r="L73" s="288"/>
      <c r="N73" s="261"/>
    </row>
    <row r="74" spans="1:14" ht="15.75" customHeight="1" x14ac:dyDescent="0.25">
      <c r="A74" s="290" t="s">
        <v>161</v>
      </c>
      <c r="B74" s="290"/>
      <c r="C74" s="293" t="s">
        <v>41</v>
      </c>
      <c r="D74" s="401" t="s">
        <v>41</v>
      </c>
      <c r="E74" s="293" t="s">
        <v>41</v>
      </c>
      <c r="F74" s="290" t="s">
        <v>161</v>
      </c>
      <c r="G74" s="288"/>
      <c r="H74" s="290"/>
      <c r="I74" s="288"/>
      <c r="J74" s="290" t="s">
        <v>161</v>
      </c>
      <c r="K74" s="288"/>
      <c r="L74" s="288"/>
      <c r="N74" s="261"/>
    </row>
    <row r="75" spans="1:14" ht="15.75" customHeight="1" x14ac:dyDescent="0.25">
      <c r="A75" s="290" t="s">
        <v>1046</v>
      </c>
      <c r="B75" s="290"/>
      <c r="C75" s="293" t="s">
        <v>163</v>
      </c>
      <c r="D75" s="401" t="s">
        <v>31</v>
      </c>
      <c r="E75" s="293" t="s">
        <v>1104</v>
      </c>
      <c r="F75" s="290" t="s">
        <v>1119</v>
      </c>
      <c r="G75" s="288"/>
      <c r="H75" s="290"/>
      <c r="I75" s="288"/>
      <c r="J75" s="290" t="s">
        <v>1119</v>
      </c>
      <c r="K75" s="288"/>
      <c r="L75" s="288"/>
      <c r="N75" s="261"/>
    </row>
    <row r="76" spans="1:14" ht="15.75" customHeight="1" x14ac:dyDescent="0.25">
      <c r="A76" s="290" t="s">
        <v>19</v>
      </c>
      <c r="B76" s="290"/>
      <c r="C76" s="293" t="s">
        <v>744</v>
      </c>
      <c r="D76" s="290" t="s">
        <v>75</v>
      </c>
      <c r="E76" s="293" t="s">
        <v>1105</v>
      </c>
      <c r="F76" s="290" t="s">
        <v>453</v>
      </c>
      <c r="G76" s="288"/>
      <c r="H76" s="290"/>
      <c r="I76" s="288"/>
      <c r="J76" s="290" t="s">
        <v>882</v>
      </c>
      <c r="K76" s="288"/>
      <c r="L76" s="288"/>
      <c r="N76" s="261"/>
    </row>
    <row r="77" spans="1:14" ht="15.75" customHeight="1" x14ac:dyDescent="0.25">
      <c r="A77" s="289" t="s">
        <v>737</v>
      </c>
      <c r="B77" s="289"/>
      <c r="C77" s="293" t="s">
        <v>147</v>
      </c>
      <c r="D77" s="289" t="s">
        <v>1779</v>
      </c>
      <c r="E77" s="294" t="s">
        <v>1106</v>
      </c>
      <c r="F77" s="289" t="s">
        <v>377</v>
      </c>
      <c r="G77" s="288"/>
      <c r="H77" s="289"/>
      <c r="I77" s="288"/>
      <c r="J77" s="289" t="s">
        <v>377</v>
      </c>
      <c r="K77" s="288"/>
      <c r="L77" s="288"/>
      <c r="N77" s="261"/>
    </row>
    <row r="78" spans="1:14" ht="15.75" customHeight="1" x14ac:dyDescent="0.25">
      <c r="A78" s="289" t="s">
        <v>150</v>
      </c>
      <c r="B78" s="289"/>
      <c r="C78" s="293" t="s">
        <v>13</v>
      </c>
      <c r="D78" s="289" t="s">
        <v>15</v>
      </c>
      <c r="E78" s="294" t="s">
        <v>930</v>
      </c>
      <c r="F78" s="289" t="s">
        <v>1118</v>
      </c>
      <c r="G78" s="288"/>
      <c r="H78" s="289"/>
      <c r="I78" s="288"/>
      <c r="J78" s="289" t="s">
        <v>1118</v>
      </c>
      <c r="K78" s="288"/>
      <c r="L78" s="288"/>
      <c r="N78" s="261"/>
    </row>
    <row r="79" spans="1:14" ht="15.75" customHeight="1" x14ac:dyDescent="0.25">
      <c r="A79" s="289" t="s">
        <v>1573</v>
      </c>
      <c r="B79" s="289"/>
      <c r="C79" s="293" t="s">
        <v>432</v>
      </c>
      <c r="D79" s="289" t="s">
        <v>164</v>
      </c>
      <c r="E79" s="294" t="s">
        <v>205</v>
      </c>
      <c r="F79" s="289" t="s">
        <v>203</v>
      </c>
      <c r="G79" s="288"/>
      <c r="H79" s="289"/>
      <c r="I79" s="288"/>
      <c r="J79" s="289" t="s">
        <v>203</v>
      </c>
      <c r="K79" s="288"/>
      <c r="L79" s="288"/>
      <c r="N79" s="261"/>
    </row>
    <row r="80" spans="1:14" ht="15.75" customHeight="1" x14ac:dyDescent="0.25">
      <c r="A80" s="289" t="s">
        <v>1576</v>
      </c>
      <c r="B80" s="289"/>
      <c r="C80" s="293" t="s">
        <v>1519</v>
      </c>
      <c r="D80" s="289" t="s">
        <v>1515</v>
      </c>
      <c r="E80" s="289" t="s">
        <v>1519</v>
      </c>
      <c r="F80" s="289" t="s">
        <v>1225</v>
      </c>
      <c r="G80" s="288"/>
      <c r="H80" s="289"/>
      <c r="I80" s="288"/>
      <c r="J80" s="289" t="s">
        <v>1041</v>
      </c>
      <c r="K80" s="288"/>
      <c r="L80" s="288"/>
      <c r="N80" s="261"/>
    </row>
    <row r="81" spans="1:14" ht="15.75" customHeight="1" x14ac:dyDescent="0.25">
      <c r="A81" s="289" t="s">
        <v>1577</v>
      </c>
      <c r="B81" s="289"/>
      <c r="C81" s="293" t="s">
        <v>1687</v>
      </c>
      <c r="D81" s="289" t="s">
        <v>1592</v>
      </c>
      <c r="E81" s="295" t="s">
        <v>1645</v>
      </c>
      <c r="F81" s="289" t="s">
        <v>1168</v>
      </c>
      <c r="G81" s="288"/>
      <c r="H81" s="289"/>
      <c r="I81" s="288"/>
      <c r="J81" s="289" t="s">
        <v>1122</v>
      </c>
      <c r="K81" s="288"/>
      <c r="L81" s="288"/>
      <c r="N81" s="261"/>
    </row>
    <row r="82" spans="1:14" ht="15.75" customHeight="1" x14ac:dyDescent="0.25">
      <c r="A82" s="289" t="s">
        <v>1550</v>
      </c>
      <c r="B82" s="289"/>
      <c r="C82" s="293" t="s">
        <v>1760</v>
      </c>
      <c r="D82" s="289" t="s">
        <v>1603</v>
      </c>
      <c r="E82" s="294" t="s">
        <v>1583</v>
      </c>
      <c r="F82" s="289" t="s">
        <v>1209</v>
      </c>
      <c r="G82" s="288"/>
      <c r="H82" s="289"/>
      <c r="I82" s="288"/>
      <c r="J82" s="289" t="s">
        <v>1026</v>
      </c>
      <c r="K82" s="288"/>
      <c r="L82" s="288"/>
      <c r="N82" s="261"/>
    </row>
    <row r="83" spans="1:14" ht="15.75" customHeight="1" x14ac:dyDescent="0.25">
      <c r="A83" s="296" t="s">
        <v>181</v>
      </c>
      <c r="B83" s="298" t="s">
        <v>185</v>
      </c>
      <c r="C83" s="296" t="s">
        <v>182</v>
      </c>
      <c r="D83" s="296" t="s">
        <v>183</v>
      </c>
      <c r="E83" s="296" t="s">
        <v>192</v>
      </c>
      <c r="F83" s="296" t="s">
        <v>223</v>
      </c>
      <c r="G83" s="296" t="s">
        <v>188</v>
      </c>
      <c r="H83" s="273" t="s">
        <v>184</v>
      </c>
      <c r="I83" s="348" t="s">
        <v>191</v>
      </c>
      <c r="J83" s="348" t="s">
        <v>246</v>
      </c>
      <c r="K83" s="348" t="s">
        <v>258</v>
      </c>
      <c r="L83" s="348" t="s">
        <v>694</v>
      </c>
      <c r="N83" s="261"/>
    </row>
    <row r="84" spans="1:14" ht="15.75" customHeight="1" x14ac:dyDescent="0.25">
      <c r="A84" s="295" t="s">
        <v>1292</v>
      </c>
      <c r="B84" s="289"/>
      <c r="C84" s="289"/>
      <c r="D84" s="289"/>
      <c r="E84" s="289" t="s">
        <v>975</v>
      </c>
      <c r="F84" s="289" t="s">
        <v>1224</v>
      </c>
      <c r="G84" s="288"/>
      <c r="H84" s="289"/>
      <c r="I84" s="288"/>
      <c r="J84" s="289" t="s">
        <v>1121</v>
      </c>
      <c r="K84" s="288"/>
      <c r="L84" s="288"/>
      <c r="N84" s="261"/>
    </row>
    <row r="85" spans="1:14" ht="15.75" customHeight="1" x14ac:dyDescent="0.25">
      <c r="A85" s="294" t="s">
        <v>73</v>
      </c>
      <c r="B85" s="289"/>
      <c r="C85" s="289"/>
      <c r="D85" s="289"/>
      <c r="E85" s="289" t="s">
        <v>165</v>
      </c>
      <c r="F85" s="289" t="s">
        <v>148</v>
      </c>
      <c r="G85" s="288"/>
      <c r="H85" s="289"/>
      <c r="I85" s="288"/>
      <c r="J85" s="289" t="s">
        <v>148</v>
      </c>
      <c r="K85" s="288"/>
      <c r="L85" s="288"/>
      <c r="N85" s="261"/>
    </row>
    <row r="86" spans="1:14" ht="15.75" customHeight="1" x14ac:dyDescent="0.25">
      <c r="A86" s="289" t="s">
        <v>1259</v>
      </c>
      <c r="B86" s="289"/>
      <c r="C86" s="289"/>
      <c r="D86" s="289"/>
      <c r="E86" s="289" t="s">
        <v>1712</v>
      </c>
      <c r="F86" s="289" t="s">
        <v>902</v>
      </c>
      <c r="G86" s="288"/>
      <c r="H86" s="289"/>
      <c r="I86" s="288"/>
      <c r="J86" s="289" t="s">
        <v>739</v>
      </c>
      <c r="K86" s="288"/>
      <c r="L86" s="288"/>
      <c r="N86" s="261"/>
    </row>
    <row r="87" spans="1:14" ht="15.75" customHeight="1" x14ac:dyDescent="0.25">
      <c r="A87" s="290" t="s">
        <v>161</v>
      </c>
      <c r="B87" s="290"/>
      <c r="C87" s="290"/>
      <c r="D87" s="290"/>
      <c r="E87" s="290" t="s">
        <v>161</v>
      </c>
      <c r="F87" s="290" t="s">
        <v>161</v>
      </c>
      <c r="G87" s="288"/>
      <c r="H87" s="290"/>
      <c r="I87" s="288"/>
      <c r="J87" s="290" t="s">
        <v>161</v>
      </c>
      <c r="K87" s="288"/>
      <c r="L87" s="288"/>
    </row>
    <row r="88" spans="1:14" ht="15.75" customHeight="1" x14ac:dyDescent="0.25">
      <c r="A88" s="293" t="s">
        <v>1297</v>
      </c>
      <c r="B88" s="290"/>
      <c r="C88" s="290"/>
      <c r="D88" s="290"/>
      <c r="E88" s="290" t="s">
        <v>1060</v>
      </c>
      <c r="F88" s="290" t="s">
        <v>1119</v>
      </c>
      <c r="G88" s="288"/>
      <c r="H88" s="290"/>
      <c r="I88" s="288"/>
      <c r="J88" s="290" t="s">
        <v>1119</v>
      </c>
      <c r="K88" s="288"/>
      <c r="L88" s="288"/>
    </row>
    <row r="89" spans="1:14" ht="15.75" customHeight="1" x14ac:dyDescent="0.25">
      <c r="A89" s="293" t="s">
        <v>801</v>
      </c>
      <c r="B89" s="290"/>
      <c r="C89" s="290"/>
      <c r="D89" s="290"/>
      <c r="E89" s="290" t="s">
        <v>99</v>
      </c>
      <c r="F89" s="290" t="s">
        <v>882</v>
      </c>
      <c r="G89" s="288"/>
      <c r="H89" s="290"/>
      <c r="I89" s="288"/>
      <c r="J89" s="290" t="s">
        <v>882</v>
      </c>
      <c r="K89" s="288"/>
      <c r="L89" s="288"/>
    </row>
    <row r="90" spans="1:14" ht="15.75" customHeight="1" x14ac:dyDescent="0.25">
      <c r="A90" s="294" t="s">
        <v>1295</v>
      </c>
      <c r="B90" s="289"/>
      <c r="C90" s="289"/>
      <c r="D90" s="289"/>
      <c r="E90" s="289" t="s">
        <v>849</v>
      </c>
      <c r="F90" s="289" t="s">
        <v>377</v>
      </c>
      <c r="G90" s="288"/>
      <c r="H90" s="289"/>
      <c r="I90" s="288"/>
      <c r="J90" s="289" t="s">
        <v>377</v>
      </c>
      <c r="K90" s="288"/>
      <c r="L90" s="288"/>
    </row>
    <row r="91" spans="1:14" ht="15.75" customHeight="1" x14ac:dyDescent="0.25">
      <c r="A91" s="294" t="s">
        <v>1294</v>
      </c>
      <c r="B91" s="289"/>
      <c r="C91" s="289"/>
      <c r="D91" s="289"/>
      <c r="E91" s="289" t="s">
        <v>162</v>
      </c>
      <c r="F91" s="289" t="s">
        <v>1118</v>
      </c>
      <c r="G91" s="288"/>
      <c r="H91" s="289"/>
      <c r="I91" s="288"/>
      <c r="J91" s="289" t="s">
        <v>1118</v>
      </c>
      <c r="K91" s="288"/>
      <c r="L91" s="288"/>
    </row>
    <row r="92" spans="1:14" ht="15.75" customHeight="1" x14ac:dyDescent="0.25">
      <c r="A92" s="294" t="s">
        <v>1296</v>
      </c>
      <c r="B92" s="289"/>
      <c r="C92" s="289"/>
      <c r="D92" s="289"/>
      <c r="E92" s="289" t="s">
        <v>205</v>
      </c>
      <c r="F92" s="289" t="s">
        <v>203</v>
      </c>
      <c r="G92" s="288"/>
      <c r="H92" s="289"/>
      <c r="I92" s="288"/>
      <c r="J92" s="289" t="s">
        <v>203</v>
      </c>
      <c r="K92" s="288"/>
      <c r="L92" s="288"/>
    </row>
    <row r="93" spans="1:14" ht="15.75" customHeight="1" x14ac:dyDescent="0.25">
      <c r="A93" s="289" t="s">
        <v>1580</v>
      </c>
      <c r="B93" s="289"/>
      <c r="C93" s="289"/>
      <c r="D93" s="289"/>
      <c r="E93" s="289" t="s">
        <v>1515</v>
      </c>
      <c r="F93" s="289" t="s">
        <v>1230</v>
      </c>
      <c r="G93" s="288"/>
      <c r="H93" s="289"/>
      <c r="I93" s="288"/>
      <c r="J93" s="289" t="s">
        <v>1059</v>
      </c>
      <c r="K93" s="288"/>
      <c r="L93" s="288"/>
    </row>
    <row r="94" spans="1:14" ht="15.75" customHeight="1" x14ac:dyDescent="0.25">
      <c r="A94" s="295" t="s">
        <v>1692</v>
      </c>
      <c r="B94" s="289"/>
      <c r="C94" s="289"/>
      <c r="D94" s="289"/>
      <c r="E94" s="289" t="s">
        <v>1517</v>
      </c>
      <c r="F94" s="289" t="s">
        <v>1163</v>
      </c>
      <c r="G94" s="288"/>
      <c r="H94" s="289"/>
      <c r="I94" s="288"/>
      <c r="J94" s="289" t="s">
        <v>996</v>
      </c>
      <c r="K94" s="288"/>
      <c r="L94" s="288"/>
    </row>
    <row r="95" spans="1:14" ht="15.75" customHeight="1" x14ac:dyDescent="0.25">
      <c r="A95" s="294" t="s">
        <v>1714</v>
      </c>
      <c r="B95" s="289"/>
      <c r="C95" s="289"/>
      <c r="D95" s="289"/>
      <c r="E95" s="289" t="s">
        <v>1713</v>
      </c>
      <c r="F95" s="289" t="s">
        <v>1209</v>
      </c>
      <c r="G95" s="288"/>
      <c r="H95" s="289"/>
      <c r="I95" s="288"/>
      <c r="J95" s="289" t="s">
        <v>1026</v>
      </c>
      <c r="K95" s="288"/>
      <c r="L95" s="288"/>
    </row>
    <row r="96" spans="1:14" ht="15.75" customHeight="1" x14ac:dyDescent="0.25">
      <c r="A96" s="296" t="s">
        <v>545</v>
      </c>
      <c r="B96" s="298" t="s">
        <v>185</v>
      </c>
      <c r="C96" s="296" t="s">
        <v>182</v>
      </c>
      <c r="D96" s="296" t="s">
        <v>183</v>
      </c>
      <c r="E96" s="296" t="s">
        <v>192</v>
      </c>
      <c r="F96" s="296" t="s">
        <v>223</v>
      </c>
      <c r="G96" s="296" t="s">
        <v>188</v>
      </c>
      <c r="H96" s="273" t="s">
        <v>184</v>
      </c>
      <c r="I96" s="348" t="s">
        <v>191</v>
      </c>
      <c r="J96" s="348" t="s">
        <v>246</v>
      </c>
      <c r="K96" s="348" t="s">
        <v>258</v>
      </c>
      <c r="L96" s="348" t="s">
        <v>694</v>
      </c>
    </row>
    <row r="97" spans="1:12" ht="15.75" customHeight="1" x14ac:dyDescent="0.25">
      <c r="A97" s="520"/>
      <c r="B97" s="289"/>
      <c r="C97" s="521"/>
      <c r="D97" s="521"/>
      <c r="E97" s="288"/>
      <c r="F97" s="289" t="s">
        <v>1227</v>
      </c>
      <c r="G97" s="288"/>
      <c r="H97" s="295"/>
      <c r="I97" s="288"/>
      <c r="J97" s="289" t="s">
        <v>1276</v>
      </c>
      <c r="K97" s="288"/>
      <c r="L97" s="288"/>
    </row>
    <row r="98" spans="1:12" ht="15.75" customHeight="1" x14ac:dyDescent="0.25">
      <c r="A98" s="294"/>
      <c r="B98" s="289"/>
      <c r="C98" s="288"/>
      <c r="D98" s="521"/>
      <c r="E98" s="288"/>
      <c r="F98" s="289" t="s">
        <v>148</v>
      </c>
      <c r="G98" s="288"/>
      <c r="H98" s="294"/>
      <c r="I98" s="288"/>
      <c r="J98" s="289" t="s">
        <v>148</v>
      </c>
      <c r="K98" s="288"/>
      <c r="L98" s="288"/>
    </row>
    <row r="99" spans="1:12" ht="15.75" customHeight="1" x14ac:dyDescent="0.25">
      <c r="A99" s="289"/>
      <c r="B99" s="289"/>
      <c r="C99" s="288"/>
      <c r="D99" s="521"/>
      <c r="E99" s="288"/>
      <c r="F99" s="289" t="s">
        <v>902</v>
      </c>
      <c r="G99" s="288"/>
      <c r="H99" s="289"/>
      <c r="I99" s="288"/>
      <c r="J99" s="289" t="s">
        <v>1277</v>
      </c>
      <c r="K99" s="288"/>
      <c r="L99" s="288"/>
    </row>
    <row r="100" spans="1:12" x14ac:dyDescent="0.25">
      <c r="A100" s="290"/>
      <c r="B100" s="290"/>
      <c r="C100" s="288"/>
      <c r="D100" s="521"/>
      <c r="E100" s="288"/>
      <c r="F100" s="290" t="s">
        <v>161</v>
      </c>
      <c r="G100" s="288"/>
      <c r="H100" s="292"/>
      <c r="I100" s="288"/>
      <c r="J100" s="290" t="s">
        <v>161</v>
      </c>
      <c r="K100" s="288"/>
      <c r="L100" s="288"/>
    </row>
    <row r="101" spans="1:12" x14ac:dyDescent="0.25">
      <c r="A101" s="293"/>
      <c r="B101" s="290"/>
      <c r="C101" s="288"/>
      <c r="D101" s="521"/>
      <c r="E101" s="288"/>
      <c r="F101" s="290" t="s">
        <v>1119</v>
      </c>
      <c r="G101" s="288"/>
      <c r="H101" s="293"/>
      <c r="I101" s="288"/>
      <c r="J101" s="290" t="s">
        <v>1060</v>
      </c>
      <c r="K101" s="288"/>
      <c r="L101" s="288"/>
    </row>
    <row r="102" spans="1:12" x14ac:dyDescent="0.25">
      <c r="A102" s="293"/>
      <c r="B102" s="290"/>
      <c r="C102" s="288"/>
      <c r="D102" s="521"/>
      <c r="E102" s="288"/>
      <c r="F102" s="290" t="s">
        <v>453</v>
      </c>
      <c r="G102" s="288"/>
      <c r="H102" s="293"/>
      <c r="I102" s="288"/>
      <c r="J102" s="290" t="s">
        <v>19</v>
      </c>
      <c r="K102" s="288"/>
      <c r="L102" s="288"/>
    </row>
    <row r="103" spans="1:12" x14ac:dyDescent="0.25">
      <c r="A103" s="294"/>
      <c r="B103" s="289"/>
      <c r="C103" s="288"/>
      <c r="D103" s="521"/>
      <c r="E103" s="288"/>
      <c r="F103" s="289" t="s">
        <v>377</v>
      </c>
      <c r="G103" s="288"/>
      <c r="H103" s="294"/>
      <c r="I103" s="288"/>
      <c r="J103" s="289" t="s">
        <v>849</v>
      </c>
      <c r="K103" s="288"/>
      <c r="L103" s="288"/>
    </row>
    <row r="104" spans="1:12" x14ac:dyDescent="0.25">
      <c r="A104" s="294"/>
      <c r="B104" s="289"/>
      <c r="C104" s="288"/>
      <c r="D104" s="521"/>
      <c r="E104" s="288"/>
      <c r="F104" s="289" t="s">
        <v>1118</v>
      </c>
      <c r="G104" s="288"/>
      <c r="H104" s="294"/>
      <c r="I104" s="288"/>
      <c r="J104" s="289" t="s">
        <v>162</v>
      </c>
      <c r="K104" s="288"/>
      <c r="L104" s="288"/>
    </row>
    <row r="105" spans="1:12" x14ac:dyDescent="0.25">
      <c r="A105" s="294"/>
      <c r="B105" s="289"/>
      <c r="C105" s="288"/>
      <c r="D105" s="521"/>
      <c r="E105" s="288"/>
      <c r="F105" s="289" t="s">
        <v>203</v>
      </c>
      <c r="G105" s="288"/>
      <c r="H105" s="294"/>
      <c r="I105" s="288"/>
      <c r="J105" s="289" t="s">
        <v>164</v>
      </c>
      <c r="K105" s="288"/>
      <c r="L105" s="288"/>
    </row>
    <row r="106" spans="1:12" x14ac:dyDescent="0.25">
      <c r="A106" s="289"/>
      <c r="B106" s="289"/>
      <c r="C106" s="288"/>
      <c r="D106" s="521"/>
      <c r="E106" s="288"/>
      <c r="F106" s="289" t="s">
        <v>1612</v>
      </c>
      <c r="G106" s="288"/>
      <c r="H106" s="289"/>
      <c r="I106" s="288"/>
      <c r="J106" s="289" t="s">
        <v>1124</v>
      </c>
      <c r="K106" s="288"/>
      <c r="L106" s="288"/>
    </row>
    <row r="107" spans="1:12" x14ac:dyDescent="0.25">
      <c r="A107" s="295"/>
      <c r="B107" s="289"/>
      <c r="C107" s="288"/>
      <c r="D107" s="521"/>
      <c r="E107" s="288"/>
      <c r="F107" s="289" t="s">
        <v>1156</v>
      </c>
      <c r="G107" s="288"/>
      <c r="H107" s="295"/>
      <c r="I107" s="288"/>
      <c r="J107" s="289" t="s">
        <v>1137</v>
      </c>
      <c r="K107" s="288"/>
      <c r="L107" s="288"/>
    </row>
    <row r="108" spans="1:12" s="260" customFormat="1" ht="15.75" customHeight="1" x14ac:dyDescent="0.25">
      <c r="A108" s="294"/>
      <c r="B108" s="289"/>
      <c r="C108" s="288"/>
      <c r="D108" s="521"/>
      <c r="E108" s="288"/>
      <c r="F108" s="289" t="s">
        <v>1209</v>
      </c>
      <c r="G108" s="288"/>
      <c r="H108" s="294"/>
      <c r="I108" s="288"/>
      <c r="J108" s="289" t="s">
        <v>1185</v>
      </c>
      <c r="K108" s="288"/>
      <c r="L108" s="288"/>
    </row>
    <row r="109" spans="1:12" x14ac:dyDescent="0.25">
      <c r="A109" s="296" t="s">
        <v>545</v>
      </c>
      <c r="B109" s="296" t="s">
        <v>185</v>
      </c>
      <c r="C109" s="296" t="s">
        <v>182</v>
      </c>
      <c r="D109" s="296" t="s">
        <v>183</v>
      </c>
      <c r="E109" s="296" t="s">
        <v>192</v>
      </c>
      <c r="F109" s="296" t="s">
        <v>223</v>
      </c>
      <c r="G109" s="296" t="s">
        <v>188</v>
      </c>
      <c r="H109" s="298" t="s">
        <v>184</v>
      </c>
      <c r="I109" s="348" t="s">
        <v>191</v>
      </c>
      <c r="J109" s="348" t="s">
        <v>246</v>
      </c>
      <c r="K109" s="348" t="s">
        <v>258</v>
      </c>
      <c r="L109" s="348" t="s">
        <v>694</v>
      </c>
    </row>
    <row r="110" spans="1:12" x14ac:dyDescent="0.25">
      <c r="A110" s="520"/>
      <c r="B110" s="520"/>
      <c r="C110" s="521"/>
      <c r="D110" s="521"/>
      <c r="E110" s="291"/>
      <c r="F110" s="289" t="s">
        <v>1226</v>
      </c>
      <c r="G110" s="288"/>
      <c r="H110" s="295"/>
      <c r="I110" s="288"/>
      <c r="J110" s="732" t="s">
        <v>1702</v>
      </c>
      <c r="K110" s="288"/>
      <c r="L110" s="288"/>
    </row>
    <row r="111" spans="1:12" x14ac:dyDescent="0.25">
      <c r="A111" s="294"/>
      <c r="B111" s="522"/>
      <c r="C111" s="288"/>
      <c r="D111" s="521"/>
      <c r="E111" s="291"/>
      <c r="F111" s="289" t="s">
        <v>148</v>
      </c>
      <c r="G111" s="288"/>
      <c r="H111" s="294"/>
      <c r="I111" s="288"/>
      <c r="J111" s="733" t="s">
        <v>1641</v>
      </c>
      <c r="K111" s="288"/>
      <c r="L111" s="288"/>
    </row>
    <row r="112" spans="1:12" ht="17.25" customHeight="1" x14ac:dyDescent="0.25">
      <c r="A112" s="289"/>
      <c r="B112" s="523"/>
      <c r="C112" s="288"/>
      <c r="D112" s="521"/>
      <c r="E112" s="291"/>
      <c r="F112" s="289" t="s">
        <v>902</v>
      </c>
      <c r="G112" s="288"/>
      <c r="H112" s="289"/>
      <c r="I112" s="288"/>
      <c r="J112" s="716" t="s">
        <v>1642</v>
      </c>
      <c r="K112" s="288"/>
      <c r="L112" s="288"/>
    </row>
    <row r="113" spans="1:12" ht="17.25" customHeight="1" x14ac:dyDescent="0.25">
      <c r="A113" s="290"/>
      <c r="B113" s="524"/>
      <c r="C113" s="288"/>
      <c r="D113" s="521"/>
      <c r="E113" s="291"/>
      <c r="F113" s="290" t="s">
        <v>161</v>
      </c>
      <c r="G113" s="288"/>
      <c r="H113" s="292"/>
      <c r="I113" s="288"/>
      <c r="J113" s="734" t="s">
        <v>41</v>
      </c>
      <c r="K113" s="288"/>
      <c r="L113" s="288"/>
    </row>
    <row r="114" spans="1:12" ht="17.25" customHeight="1" x14ac:dyDescent="0.25">
      <c r="A114" s="293"/>
      <c r="B114" s="525"/>
      <c r="C114" s="288"/>
      <c r="D114" s="521"/>
      <c r="E114" s="291"/>
      <c r="F114" s="290" t="s">
        <v>1119</v>
      </c>
      <c r="G114" s="288"/>
      <c r="H114" s="293"/>
      <c r="I114" s="288"/>
      <c r="J114" s="734" t="s">
        <v>1119</v>
      </c>
      <c r="K114" s="288"/>
      <c r="L114" s="288"/>
    </row>
    <row r="115" spans="1:12" ht="17.25" customHeight="1" x14ac:dyDescent="0.25">
      <c r="A115" s="293"/>
      <c r="B115" s="525"/>
      <c r="C115" s="288"/>
      <c r="D115" s="521"/>
      <c r="E115" s="291"/>
      <c r="F115" s="290" t="s">
        <v>882</v>
      </c>
      <c r="G115" s="288"/>
      <c r="H115" s="293"/>
      <c r="I115" s="288"/>
      <c r="J115" s="734" t="s">
        <v>1644</v>
      </c>
      <c r="K115" s="288"/>
      <c r="L115" s="288"/>
    </row>
    <row r="116" spans="1:12" ht="17.25" customHeight="1" x14ac:dyDescent="0.25">
      <c r="A116" s="294"/>
      <c r="B116" s="522"/>
      <c r="C116" s="288"/>
      <c r="D116" s="521"/>
      <c r="E116" s="291"/>
      <c r="F116" s="289" t="s">
        <v>377</v>
      </c>
      <c r="G116" s="288"/>
      <c r="H116" s="294"/>
      <c r="I116" s="288"/>
      <c r="J116" s="733" t="s">
        <v>1643</v>
      </c>
      <c r="K116" s="288"/>
      <c r="L116" s="288"/>
    </row>
    <row r="117" spans="1:12" ht="17.25" customHeight="1" x14ac:dyDescent="0.25">
      <c r="A117" s="294"/>
      <c r="B117" s="522"/>
      <c r="C117" s="288"/>
      <c r="D117" s="521"/>
      <c r="E117" s="291"/>
      <c r="F117" s="289" t="s">
        <v>1118</v>
      </c>
      <c r="G117" s="288"/>
      <c r="H117" s="294"/>
      <c r="I117" s="288"/>
      <c r="J117" s="733" t="s">
        <v>1118</v>
      </c>
      <c r="K117" s="288"/>
      <c r="L117" s="288"/>
    </row>
    <row r="118" spans="1:12" ht="17.25" customHeight="1" x14ac:dyDescent="0.25">
      <c r="A118" s="294"/>
      <c r="B118" s="522"/>
      <c r="C118" s="288"/>
      <c r="D118" s="521"/>
      <c r="E118" s="291"/>
      <c r="F118" s="289" t="s">
        <v>203</v>
      </c>
      <c r="G118" s="288"/>
      <c r="H118" s="294"/>
      <c r="I118" s="288"/>
      <c r="J118" s="733" t="s">
        <v>205</v>
      </c>
      <c r="K118" s="288"/>
      <c r="L118" s="288"/>
    </row>
    <row r="119" spans="1:12" ht="17.25" customHeight="1" x14ac:dyDescent="0.25">
      <c r="A119" s="289"/>
      <c r="B119" s="523"/>
      <c r="C119" s="288"/>
      <c r="D119" s="521"/>
      <c r="E119" s="291"/>
      <c r="F119" s="289" t="s">
        <v>1556</v>
      </c>
      <c r="G119" s="288"/>
      <c r="H119" s="289"/>
      <c r="I119" s="288"/>
      <c r="J119" s="716" t="s">
        <v>1146</v>
      </c>
      <c r="K119" s="288"/>
      <c r="L119" s="288"/>
    </row>
    <row r="120" spans="1:12" ht="17.25" customHeight="1" x14ac:dyDescent="0.25">
      <c r="A120" s="295"/>
      <c r="B120" s="520"/>
      <c r="C120" s="288"/>
      <c r="D120" s="521"/>
      <c r="E120" s="291"/>
      <c r="F120" s="289" t="s">
        <v>1153</v>
      </c>
      <c r="G120" s="288"/>
      <c r="H120" s="295"/>
      <c r="I120" s="288"/>
      <c r="J120" s="732" t="s">
        <v>1718</v>
      </c>
      <c r="K120" s="288"/>
      <c r="L120" s="288"/>
    </row>
    <row r="121" spans="1:12" s="260" customFormat="1" ht="17.25" customHeight="1" x14ac:dyDescent="0.25">
      <c r="A121" s="294"/>
      <c r="B121" s="522"/>
      <c r="C121" s="288"/>
      <c r="D121" s="521"/>
      <c r="E121" s="291"/>
      <c r="F121" s="289" t="s">
        <v>1209</v>
      </c>
      <c r="G121" s="288"/>
      <c r="H121" s="294"/>
      <c r="I121" s="288"/>
      <c r="J121" s="733" t="s">
        <v>1639</v>
      </c>
      <c r="K121" s="288"/>
      <c r="L121" s="288"/>
    </row>
    <row r="122" spans="1:12" x14ac:dyDescent="0.25">
      <c r="A122" s="296" t="s">
        <v>545</v>
      </c>
      <c r="B122" s="296" t="s">
        <v>185</v>
      </c>
      <c r="C122" s="296" t="s">
        <v>182</v>
      </c>
      <c r="D122" s="296" t="s">
        <v>183</v>
      </c>
      <c r="E122" s="296" t="s">
        <v>192</v>
      </c>
      <c r="F122" s="296" t="s">
        <v>223</v>
      </c>
      <c r="G122" s="296" t="s">
        <v>188</v>
      </c>
      <c r="H122" s="298" t="s">
        <v>184</v>
      </c>
      <c r="I122" s="348" t="s">
        <v>191</v>
      </c>
      <c r="J122" s="296" t="s">
        <v>1723</v>
      </c>
      <c r="K122" s="348" t="s">
        <v>258</v>
      </c>
      <c r="L122" s="348" t="s">
        <v>694</v>
      </c>
    </row>
    <row r="123" spans="1:12" x14ac:dyDescent="0.25">
      <c r="A123" s="520"/>
      <c r="B123" s="520"/>
      <c r="C123" s="521"/>
      <c r="D123" s="521"/>
      <c r="E123" s="291"/>
      <c r="F123" s="817" t="s">
        <v>1653</v>
      </c>
      <c r="G123" s="288"/>
      <c r="H123" s="288"/>
      <c r="I123" s="288"/>
      <c r="J123" s="732" t="s">
        <v>1719</v>
      </c>
      <c r="K123" s="288"/>
      <c r="L123" s="288"/>
    </row>
    <row r="124" spans="1:12" x14ac:dyDescent="0.25">
      <c r="A124" s="294"/>
      <c r="B124" s="522"/>
      <c r="C124" s="288"/>
      <c r="D124" s="521"/>
      <c r="E124" s="291"/>
      <c r="F124" s="817" t="s">
        <v>691</v>
      </c>
      <c r="G124" s="288"/>
      <c r="H124" s="288"/>
      <c r="I124" s="288"/>
      <c r="J124" s="733" t="s">
        <v>1641</v>
      </c>
      <c r="K124" s="288"/>
      <c r="L124" s="288"/>
    </row>
    <row r="125" spans="1:12" x14ac:dyDescent="0.25">
      <c r="A125" s="289"/>
      <c r="B125" s="523"/>
      <c r="C125" s="288"/>
      <c r="D125" s="521"/>
      <c r="E125" s="291"/>
      <c r="F125" s="817" t="s">
        <v>1654</v>
      </c>
      <c r="G125" s="288"/>
      <c r="H125" s="288"/>
      <c r="I125" s="288"/>
      <c r="J125" s="716" t="s">
        <v>1724</v>
      </c>
      <c r="K125" s="288"/>
      <c r="L125" s="288"/>
    </row>
    <row r="126" spans="1:12" x14ac:dyDescent="0.25">
      <c r="A126" s="290"/>
      <c r="B126" s="524"/>
      <c r="C126" s="288"/>
      <c r="D126" s="521"/>
      <c r="E126" s="291"/>
      <c r="F126" s="817" t="s">
        <v>41</v>
      </c>
      <c r="G126" s="288"/>
      <c r="H126" s="288"/>
      <c r="I126" s="288"/>
      <c r="J126" s="734" t="s">
        <v>41</v>
      </c>
      <c r="K126" s="288"/>
      <c r="L126" s="288"/>
    </row>
    <row r="127" spans="1:12" x14ac:dyDescent="0.25">
      <c r="A127" s="293"/>
      <c r="B127" s="525"/>
      <c r="C127" s="288"/>
      <c r="D127" s="521"/>
      <c r="E127" s="291"/>
      <c r="F127" s="817" t="s">
        <v>1060</v>
      </c>
      <c r="G127" s="288"/>
      <c r="H127" s="288"/>
      <c r="I127" s="288"/>
      <c r="J127" s="734" t="s">
        <v>1119</v>
      </c>
      <c r="K127" s="288"/>
      <c r="L127" s="288"/>
    </row>
    <row r="128" spans="1:12" x14ac:dyDescent="0.25">
      <c r="A128" s="293"/>
      <c r="B128" s="525"/>
      <c r="C128" s="288"/>
      <c r="D128" s="521"/>
      <c r="E128" s="291"/>
      <c r="F128" s="817" t="s">
        <v>853</v>
      </c>
      <c r="G128" s="288"/>
      <c r="H128" s="288"/>
      <c r="I128" s="288"/>
      <c r="J128" s="734" t="s">
        <v>1644</v>
      </c>
      <c r="K128" s="288"/>
      <c r="L128" s="288"/>
    </row>
    <row r="129" spans="1:12" x14ac:dyDescent="0.25">
      <c r="A129" s="294"/>
      <c r="B129" s="522"/>
      <c r="C129" s="288"/>
      <c r="D129" s="521"/>
      <c r="E129" s="291"/>
      <c r="F129" s="817" t="s">
        <v>1655</v>
      </c>
      <c r="G129" s="288"/>
      <c r="H129" s="288"/>
      <c r="I129" s="288"/>
      <c r="J129" s="733" t="s">
        <v>1643</v>
      </c>
      <c r="K129" s="288"/>
      <c r="L129" s="288"/>
    </row>
    <row r="130" spans="1:12" x14ac:dyDescent="0.25">
      <c r="A130" s="294"/>
      <c r="B130" s="522"/>
      <c r="C130" s="288"/>
      <c r="D130" s="521"/>
      <c r="E130" s="291"/>
      <c r="F130" s="817" t="s">
        <v>15</v>
      </c>
      <c r="G130" s="288"/>
      <c r="H130" s="288"/>
      <c r="I130" s="288"/>
      <c r="J130" s="733" t="s">
        <v>1118</v>
      </c>
      <c r="K130" s="288"/>
      <c r="L130" s="288"/>
    </row>
    <row r="131" spans="1:12" x14ac:dyDescent="0.25">
      <c r="A131" s="294"/>
      <c r="B131" s="522"/>
      <c r="C131" s="288"/>
      <c r="D131" s="521"/>
      <c r="E131" s="291"/>
      <c r="F131" s="817" t="s">
        <v>164</v>
      </c>
      <c r="G131" s="288"/>
      <c r="H131" s="288"/>
      <c r="I131" s="288"/>
      <c r="J131" s="733" t="s">
        <v>205</v>
      </c>
      <c r="K131" s="288"/>
      <c r="L131" s="288"/>
    </row>
    <row r="132" spans="1:12" x14ac:dyDescent="0.25">
      <c r="A132" s="289"/>
      <c r="B132" s="523"/>
      <c r="C132" s="288"/>
      <c r="D132" s="521"/>
      <c r="E132" s="291"/>
      <c r="F132" s="817" t="s">
        <v>1685</v>
      </c>
      <c r="G132" s="288"/>
      <c r="H132" s="288"/>
      <c r="I132" s="288"/>
      <c r="J132" s="716" t="s">
        <v>1556</v>
      </c>
      <c r="K132" s="288"/>
      <c r="L132" s="288"/>
    </row>
    <row r="133" spans="1:12" x14ac:dyDescent="0.25">
      <c r="A133" s="295"/>
      <c r="B133" s="520"/>
      <c r="C133" s="288"/>
      <c r="D133" s="521"/>
      <c r="E133" s="291"/>
      <c r="F133" s="817" t="s">
        <v>1686</v>
      </c>
      <c r="G133" s="288"/>
      <c r="H133" s="288"/>
      <c r="I133" s="288"/>
      <c r="J133" s="732" t="s">
        <v>1645</v>
      </c>
      <c r="K133" s="288"/>
      <c r="L133" s="288"/>
    </row>
    <row r="134" spans="1:12" s="260" customFormat="1" ht="17.25" customHeight="1" x14ac:dyDescent="0.25">
      <c r="A134" s="294"/>
      <c r="B134" s="522"/>
      <c r="C134" s="288"/>
      <c r="D134" s="521"/>
      <c r="E134" s="291"/>
      <c r="F134" s="817" t="s">
        <v>1651</v>
      </c>
      <c r="G134" s="288"/>
      <c r="H134" s="288"/>
      <c r="I134" s="288"/>
      <c r="J134" s="733" t="s">
        <v>1639</v>
      </c>
      <c r="K134" s="288"/>
      <c r="L134" s="288"/>
    </row>
    <row r="135" spans="1:12" x14ac:dyDescent="0.25">
      <c r="A135" s="296" t="s">
        <v>545</v>
      </c>
      <c r="B135" s="296" t="s">
        <v>185</v>
      </c>
      <c r="C135" s="288"/>
      <c r="D135" s="296" t="s">
        <v>183</v>
      </c>
      <c r="E135" s="296" t="s">
        <v>192</v>
      </c>
      <c r="F135" s="296" t="s">
        <v>223</v>
      </c>
      <c r="G135" s="296" t="s">
        <v>188</v>
      </c>
      <c r="H135" s="298" t="s">
        <v>184</v>
      </c>
      <c r="I135" s="298" t="s">
        <v>191</v>
      </c>
      <c r="J135" s="296" t="s">
        <v>246</v>
      </c>
      <c r="K135" s="348" t="s">
        <v>258</v>
      </c>
      <c r="L135" s="288"/>
    </row>
    <row r="136" spans="1:12" x14ac:dyDescent="0.25">
      <c r="A136" s="520"/>
      <c r="B136" s="520"/>
      <c r="C136" s="521"/>
      <c r="D136" s="521"/>
      <c r="E136" s="288"/>
      <c r="F136" s="817" t="s">
        <v>1663</v>
      </c>
      <c r="G136" s="288"/>
      <c r="H136" s="288"/>
      <c r="I136" s="288"/>
      <c r="K136" s="288"/>
      <c r="L136" s="288"/>
    </row>
    <row r="137" spans="1:12" x14ac:dyDescent="0.25">
      <c r="A137" s="294"/>
      <c r="B137" s="294"/>
      <c r="C137" s="288"/>
      <c r="D137" s="288"/>
      <c r="E137" s="288"/>
      <c r="F137" s="817" t="s">
        <v>691</v>
      </c>
      <c r="G137" s="288"/>
      <c r="H137" s="288"/>
      <c r="I137" s="288"/>
      <c r="K137" s="288"/>
      <c r="L137" s="288"/>
    </row>
    <row r="138" spans="1:12" x14ac:dyDescent="0.25">
      <c r="A138" s="289"/>
      <c r="B138" s="289"/>
      <c r="C138" s="288"/>
      <c r="D138" s="288"/>
      <c r="E138" s="288"/>
      <c r="F138" s="817" t="s">
        <v>1664</v>
      </c>
      <c r="G138" s="288"/>
      <c r="H138" s="288"/>
      <c r="I138" s="288"/>
      <c r="K138" s="288"/>
      <c r="L138" s="288"/>
    </row>
    <row r="139" spans="1:12" x14ac:dyDescent="0.25">
      <c r="A139" s="290"/>
      <c r="B139" s="290"/>
      <c r="C139" s="288"/>
      <c r="D139" s="288"/>
      <c r="E139" s="288"/>
      <c r="F139" s="817" t="s">
        <v>41</v>
      </c>
      <c r="G139" s="288"/>
      <c r="H139" s="288"/>
      <c r="I139" s="288"/>
      <c r="K139" s="288"/>
      <c r="L139" s="288"/>
    </row>
    <row r="140" spans="1:12" x14ac:dyDescent="0.25">
      <c r="A140" s="293"/>
      <c r="B140" s="293"/>
      <c r="C140" s="288"/>
      <c r="D140" s="288"/>
      <c r="E140" s="288"/>
      <c r="F140" s="817" t="s">
        <v>31</v>
      </c>
      <c r="G140" s="288"/>
      <c r="H140" s="288"/>
      <c r="I140" s="288"/>
      <c r="K140" s="288"/>
      <c r="L140" s="288"/>
    </row>
    <row r="141" spans="1:12" x14ac:dyDescent="0.25">
      <c r="A141" s="293"/>
      <c r="B141" s="293"/>
      <c r="C141" s="288"/>
      <c r="D141" s="288"/>
      <c r="E141" s="288"/>
      <c r="F141" s="817" t="s">
        <v>842</v>
      </c>
      <c r="G141" s="288"/>
      <c r="H141" s="288"/>
      <c r="I141" s="288"/>
      <c r="K141" s="288"/>
      <c r="L141" s="288"/>
    </row>
    <row r="142" spans="1:12" x14ac:dyDescent="0.25">
      <c r="A142" s="294"/>
      <c r="B142" s="294"/>
      <c r="C142" s="288"/>
      <c r="D142" s="288"/>
      <c r="E142" s="288"/>
      <c r="F142" s="817" t="s">
        <v>849</v>
      </c>
      <c r="G142" s="288"/>
      <c r="H142" s="288"/>
      <c r="I142" s="288"/>
      <c r="K142" s="288"/>
      <c r="L142" s="288"/>
    </row>
    <row r="143" spans="1:12" x14ac:dyDescent="0.25">
      <c r="A143" s="294"/>
      <c r="B143" s="294"/>
      <c r="C143" s="288"/>
      <c r="D143" s="288"/>
      <c r="E143" s="288"/>
      <c r="F143" s="817" t="s">
        <v>15</v>
      </c>
      <c r="G143" s="288"/>
      <c r="H143" s="288"/>
      <c r="I143" s="288"/>
      <c r="K143" s="288"/>
      <c r="L143" s="288"/>
    </row>
    <row r="144" spans="1:12" x14ac:dyDescent="0.25">
      <c r="A144" s="294"/>
      <c r="B144" s="294"/>
      <c r="C144" s="288"/>
      <c r="D144" s="288"/>
      <c r="E144" s="288"/>
      <c r="F144" s="817" t="s">
        <v>164</v>
      </c>
      <c r="G144" s="288"/>
      <c r="H144" s="288"/>
      <c r="I144" s="288"/>
      <c r="K144" s="288"/>
      <c r="L144" s="288"/>
    </row>
    <row r="145" spans="1:12" x14ac:dyDescent="0.25">
      <c r="A145" s="289"/>
      <c r="B145" s="289"/>
      <c r="C145" s="288"/>
      <c r="D145" s="288"/>
      <c r="E145" s="288"/>
      <c r="F145" s="817" t="s">
        <v>1537</v>
      </c>
      <c r="G145" s="288"/>
      <c r="H145" s="288"/>
      <c r="I145" s="288"/>
      <c r="K145" s="288"/>
      <c r="L145" s="288"/>
    </row>
    <row r="146" spans="1:12" x14ac:dyDescent="0.25">
      <c r="A146" s="295"/>
      <c r="B146" s="295"/>
      <c r="C146" s="288"/>
      <c r="D146" s="288"/>
      <c r="E146" s="288"/>
      <c r="F146" s="817" t="s">
        <v>1687</v>
      </c>
      <c r="G146" s="288"/>
      <c r="H146" s="288"/>
      <c r="I146" s="288"/>
      <c r="K146" s="288"/>
      <c r="L146" s="288"/>
    </row>
    <row r="147" spans="1:12" s="260" customFormat="1" x14ac:dyDescent="0.25">
      <c r="A147" s="295"/>
      <c r="B147" s="295"/>
      <c r="C147" s="288"/>
      <c r="D147" s="288"/>
      <c r="E147" s="288"/>
      <c r="F147" s="817" t="s">
        <v>1661</v>
      </c>
      <c r="G147" s="288"/>
      <c r="H147" s="288"/>
      <c r="I147" s="288"/>
      <c r="K147" s="288"/>
      <c r="L147" s="288"/>
    </row>
    <row r="148" spans="1:12" s="260" customFormat="1" ht="17.25" customHeight="1" x14ac:dyDescent="0.25">
      <c r="A148" s="298" t="s">
        <v>181</v>
      </c>
      <c r="B148" s="298" t="s">
        <v>185</v>
      </c>
      <c r="C148" s="298" t="s">
        <v>182</v>
      </c>
      <c r="D148" s="298" t="s">
        <v>183</v>
      </c>
      <c r="E148" s="296" t="s">
        <v>192</v>
      </c>
      <c r="F148" s="296" t="s">
        <v>223</v>
      </c>
      <c r="G148" s="296" t="s">
        <v>188</v>
      </c>
      <c r="H148" s="298" t="s">
        <v>184</v>
      </c>
      <c r="I148" s="298" t="s">
        <v>191</v>
      </c>
      <c r="J148" s="296" t="s">
        <v>246</v>
      </c>
      <c r="K148" s="288"/>
      <c r="L148" s="288"/>
    </row>
    <row r="149" spans="1:12" x14ac:dyDescent="0.25">
      <c r="F149" s="817" t="s">
        <v>1665</v>
      </c>
      <c r="G149" s="288"/>
      <c r="H149" s="288"/>
      <c r="I149" s="288"/>
      <c r="J149" s="289"/>
      <c r="K149" s="288"/>
      <c r="L149" s="288"/>
    </row>
    <row r="150" spans="1:12" x14ac:dyDescent="0.25">
      <c r="A150" s="288"/>
      <c r="B150" s="295"/>
      <c r="C150" s="288"/>
      <c r="D150" s="288"/>
      <c r="E150" s="288"/>
      <c r="F150" s="817" t="s">
        <v>691</v>
      </c>
      <c r="G150" s="288"/>
      <c r="H150" s="288"/>
      <c r="I150" s="288"/>
      <c r="J150" s="289"/>
      <c r="K150" s="288"/>
      <c r="L150" s="288"/>
    </row>
    <row r="151" spans="1:12" x14ac:dyDescent="0.25">
      <c r="A151" s="288"/>
      <c r="B151" s="294"/>
      <c r="C151" s="288"/>
      <c r="D151" s="288"/>
      <c r="E151" s="288"/>
      <c r="F151" s="817" t="s">
        <v>1666</v>
      </c>
      <c r="G151" s="288"/>
      <c r="H151" s="288"/>
      <c r="I151" s="288"/>
      <c r="J151" s="289"/>
      <c r="K151" s="288"/>
      <c r="L151" s="288"/>
    </row>
    <row r="152" spans="1:12" x14ac:dyDescent="0.25">
      <c r="A152" s="288"/>
      <c r="B152" s="289"/>
      <c r="C152" s="288"/>
      <c r="D152" s="288"/>
      <c r="E152" s="288"/>
      <c r="F152" s="817" t="s">
        <v>41</v>
      </c>
      <c r="G152" s="288"/>
      <c r="H152" s="288"/>
      <c r="I152" s="288"/>
      <c r="J152" s="293"/>
      <c r="K152" s="288"/>
      <c r="L152" s="288"/>
    </row>
    <row r="153" spans="1:12" x14ac:dyDescent="0.25">
      <c r="A153" s="288"/>
      <c r="B153" s="290"/>
      <c r="C153" s="288"/>
      <c r="D153" s="288"/>
      <c r="E153" s="288"/>
      <c r="F153" s="817" t="s">
        <v>31</v>
      </c>
      <c r="G153" s="288"/>
      <c r="H153" s="288"/>
      <c r="I153" s="288"/>
      <c r="J153" s="290"/>
      <c r="K153" s="288"/>
      <c r="L153" s="288"/>
    </row>
    <row r="154" spans="1:12" x14ac:dyDescent="0.25">
      <c r="A154" s="288"/>
      <c r="B154" s="293"/>
      <c r="C154" s="288"/>
      <c r="D154" s="288"/>
      <c r="E154" s="288"/>
      <c r="F154" s="817" t="s">
        <v>1667</v>
      </c>
      <c r="G154" s="288"/>
      <c r="H154" s="288"/>
      <c r="I154" s="288"/>
      <c r="J154" s="290"/>
      <c r="K154" s="288"/>
      <c r="L154" s="288"/>
    </row>
    <row r="155" spans="1:12" x14ac:dyDescent="0.25">
      <c r="A155" s="288"/>
      <c r="B155" s="293"/>
      <c r="C155" s="288"/>
      <c r="D155" s="288"/>
      <c r="E155" s="288"/>
      <c r="F155" s="817" t="s">
        <v>1655</v>
      </c>
      <c r="G155" s="288"/>
      <c r="H155" s="288"/>
      <c r="I155" s="288"/>
      <c r="J155" s="289"/>
      <c r="K155" s="288"/>
      <c r="L155" s="288"/>
    </row>
    <row r="156" spans="1:12" x14ac:dyDescent="0.25">
      <c r="A156" s="288"/>
      <c r="B156" s="294"/>
      <c r="C156" s="288"/>
      <c r="D156" s="288"/>
      <c r="E156" s="288"/>
      <c r="F156" s="817" t="s">
        <v>15</v>
      </c>
      <c r="G156" s="288"/>
      <c r="H156" s="288"/>
      <c r="I156" s="288"/>
      <c r="J156" s="289"/>
      <c r="K156" s="288"/>
      <c r="L156" s="288"/>
    </row>
    <row r="157" spans="1:12" x14ac:dyDescent="0.25">
      <c r="A157" s="288"/>
      <c r="B157" s="294"/>
      <c r="C157" s="288"/>
      <c r="D157" s="288"/>
      <c r="E157" s="288"/>
      <c r="F157" s="817" t="s">
        <v>164</v>
      </c>
      <c r="G157" s="288"/>
      <c r="H157" s="288"/>
      <c r="I157" s="288"/>
      <c r="J157" s="289"/>
      <c r="K157" s="288"/>
      <c r="L157" s="288"/>
    </row>
    <row r="158" spans="1:12" x14ac:dyDescent="0.25">
      <c r="A158" s="288"/>
      <c r="B158" s="294"/>
      <c r="C158" s="288"/>
      <c r="D158" s="288"/>
      <c r="E158" s="288"/>
      <c r="F158" s="817" t="s">
        <v>1618</v>
      </c>
      <c r="G158" s="288"/>
      <c r="H158" s="288"/>
      <c r="I158" s="288"/>
      <c r="J158" s="289"/>
      <c r="K158" s="288"/>
      <c r="L158" s="288"/>
    </row>
    <row r="159" spans="1:12" x14ac:dyDescent="0.25">
      <c r="A159" s="288"/>
      <c r="B159" s="289"/>
      <c r="C159" s="288"/>
      <c r="D159" s="288"/>
      <c r="E159" s="288"/>
      <c r="F159" s="817" t="s">
        <v>1688</v>
      </c>
      <c r="G159" s="288"/>
      <c r="H159" s="288"/>
      <c r="I159" s="288"/>
      <c r="J159" s="289"/>
      <c r="K159" s="288"/>
      <c r="L159" s="288"/>
    </row>
    <row r="160" spans="1:12" x14ac:dyDescent="0.25">
      <c r="A160" s="288"/>
      <c r="B160" s="295"/>
      <c r="C160" s="288"/>
      <c r="D160" s="288"/>
      <c r="E160" s="288"/>
      <c r="F160" s="817" t="s">
        <v>1661</v>
      </c>
      <c r="G160" s="288"/>
      <c r="H160" s="288"/>
      <c r="I160" s="288"/>
      <c r="J160" s="289"/>
      <c r="K160" s="288"/>
      <c r="L160" s="288"/>
    </row>
    <row r="161" spans="2:2" x14ac:dyDescent="0.25">
      <c r="B161" s="715"/>
    </row>
  </sheetData>
  <mergeCells count="3">
    <mergeCell ref="A1:E1"/>
    <mergeCell ref="A3:E3"/>
    <mergeCell ref="A4:E4"/>
  </mergeCells>
  <pageMargins left="0.25" right="0" top="0.25" bottom="0" header="0.3" footer="0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9"/>
  <sheetViews>
    <sheetView zoomScaleNormal="100" workbookViewId="0">
      <selection activeCell="A56" sqref="A56"/>
    </sheetView>
  </sheetViews>
  <sheetFormatPr defaultRowHeight="15" x14ac:dyDescent="0.25"/>
  <cols>
    <col min="1" max="1" width="23.28515625" style="260" customWidth="1"/>
    <col min="2" max="5" width="23.85546875" style="260" customWidth="1"/>
    <col min="6" max="6" width="25.5703125" style="260" customWidth="1"/>
    <col min="7" max="7" width="23.7109375" style="260" customWidth="1"/>
    <col min="8" max="8" width="22.85546875" style="260" customWidth="1"/>
    <col min="9" max="9" width="22.28515625" style="260" customWidth="1"/>
    <col min="10" max="16384" width="9.140625" style="260"/>
  </cols>
  <sheetData>
    <row r="1" spans="1:11" ht="15.75" x14ac:dyDescent="0.25">
      <c r="A1" s="739" t="s">
        <v>178</v>
      </c>
      <c r="B1" s="739"/>
      <c r="C1" s="739"/>
      <c r="D1" s="739"/>
      <c r="E1" s="739"/>
      <c r="F1" s="232"/>
      <c r="G1" s="233"/>
      <c r="H1" s="234"/>
    </row>
    <row r="2" spans="1:11" ht="15.75" x14ac:dyDescent="0.25">
      <c r="A2" s="739" t="s">
        <v>189</v>
      </c>
      <c r="B2" s="739"/>
      <c r="C2" s="739"/>
      <c r="D2" s="739"/>
      <c r="E2" s="739"/>
      <c r="F2" s="232"/>
      <c r="G2" s="233"/>
      <c r="H2" s="234"/>
    </row>
    <row r="3" spans="1:11" ht="18.75" x14ac:dyDescent="0.25">
      <c r="A3" s="740" t="s">
        <v>190</v>
      </c>
      <c r="B3" s="740"/>
      <c r="C3" s="740"/>
      <c r="D3" s="740"/>
      <c r="E3" s="740"/>
      <c r="F3" s="232"/>
      <c r="G3" s="741" t="s">
        <v>1446</v>
      </c>
      <c r="H3" s="741"/>
      <c r="I3" s="741"/>
    </row>
    <row r="4" spans="1:11" x14ac:dyDescent="0.25">
      <c r="A4" s="296" t="s">
        <v>920</v>
      </c>
      <c r="B4" s="348" t="s">
        <v>185</v>
      </c>
      <c r="C4" s="296" t="s">
        <v>182</v>
      </c>
      <c r="D4" s="296" t="s">
        <v>193</v>
      </c>
      <c r="E4" s="296" t="s">
        <v>1329</v>
      </c>
      <c r="F4" s="296" t="s">
        <v>1328</v>
      </c>
      <c r="G4" s="296" t="s">
        <v>1402</v>
      </c>
      <c r="H4" s="273" t="s">
        <v>184</v>
      </c>
      <c r="I4" s="273" t="s">
        <v>191</v>
      </c>
    </row>
    <row r="5" spans="1:11" ht="15.75" customHeight="1" x14ac:dyDescent="0.25">
      <c r="A5" s="289" t="s">
        <v>906</v>
      </c>
      <c r="B5" s="289" t="s">
        <v>999</v>
      </c>
      <c r="C5" s="293" t="s">
        <v>980</v>
      </c>
      <c r="D5" s="288"/>
      <c r="E5" s="289" t="s">
        <v>1015</v>
      </c>
      <c r="F5" s="293" t="s">
        <v>949</v>
      </c>
      <c r="G5" s="293" t="s">
        <v>1373</v>
      </c>
      <c r="H5" s="289" t="s">
        <v>878</v>
      </c>
      <c r="I5" s="295" t="s">
        <v>788</v>
      </c>
      <c r="K5" s="700"/>
    </row>
    <row r="6" spans="1:11" ht="15.75" customHeight="1" x14ac:dyDescent="0.25">
      <c r="A6" s="289" t="s">
        <v>611</v>
      </c>
      <c r="B6" s="289" t="s">
        <v>148</v>
      </c>
      <c r="C6" s="293" t="s">
        <v>73</v>
      </c>
      <c r="D6" s="288"/>
      <c r="E6" s="289" t="s">
        <v>157</v>
      </c>
      <c r="F6" s="293" t="s">
        <v>73</v>
      </c>
      <c r="G6" s="293" t="s">
        <v>73</v>
      </c>
      <c r="H6" s="289" t="s">
        <v>165</v>
      </c>
      <c r="I6" s="294" t="s">
        <v>73</v>
      </c>
      <c r="K6" s="701"/>
    </row>
    <row r="7" spans="1:11" ht="15.75" customHeight="1" x14ac:dyDescent="0.25">
      <c r="A7" s="289" t="s">
        <v>901</v>
      </c>
      <c r="B7" s="289" t="s">
        <v>1000</v>
      </c>
      <c r="C7" s="291" t="s">
        <v>1345</v>
      </c>
      <c r="D7" s="288"/>
      <c r="E7" s="289" t="s">
        <v>1371</v>
      </c>
      <c r="F7" s="293" t="s">
        <v>970</v>
      </c>
      <c r="G7" s="291" t="s">
        <v>1462</v>
      </c>
      <c r="H7" s="289" t="s">
        <v>894</v>
      </c>
      <c r="I7" s="289" t="s">
        <v>1450</v>
      </c>
      <c r="K7" s="692"/>
    </row>
    <row r="8" spans="1:11" ht="15.75" customHeight="1" x14ac:dyDescent="0.25">
      <c r="A8" s="293" t="s">
        <v>847</v>
      </c>
      <c r="B8" s="290" t="s">
        <v>219</v>
      </c>
      <c r="C8" s="290" t="s">
        <v>219</v>
      </c>
      <c r="D8" s="288"/>
      <c r="E8" s="293" t="s">
        <v>1346</v>
      </c>
      <c r="F8" s="293" t="s">
        <v>1346</v>
      </c>
      <c r="G8" s="293" t="s">
        <v>1346</v>
      </c>
      <c r="H8" s="401" t="s">
        <v>847</v>
      </c>
      <c r="I8" s="290" t="s">
        <v>219</v>
      </c>
      <c r="K8" s="219"/>
    </row>
    <row r="9" spans="1:11" ht="15.75" customHeight="1" x14ac:dyDescent="0.25">
      <c r="A9" s="290" t="s">
        <v>848</v>
      </c>
      <c r="B9" s="290" t="s">
        <v>1396</v>
      </c>
      <c r="C9" s="290" t="s">
        <v>1396</v>
      </c>
      <c r="D9" s="288"/>
      <c r="E9" s="401" t="s">
        <v>1438</v>
      </c>
      <c r="F9" s="293" t="s">
        <v>244</v>
      </c>
      <c r="G9" s="293" t="s">
        <v>1396</v>
      </c>
      <c r="H9" s="401" t="s">
        <v>846</v>
      </c>
      <c r="I9" s="293" t="s">
        <v>1408</v>
      </c>
      <c r="K9" s="702"/>
    </row>
    <row r="10" spans="1:11" ht="15.75" customHeight="1" x14ac:dyDescent="0.25">
      <c r="A10" s="290" t="s">
        <v>49</v>
      </c>
      <c r="B10" s="290" t="s">
        <v>610</v>
      </c>
      <c r="C10" s="293" t="s">
        <v>842</v>
      </c>
      <c r="D10" s="288" t="s">
        <v>1458</v>
      </c>
      <c r="E10" s="290" t="s">
        <v>1232</v>
      </c>
      <c r="F10" s="293" t="s">
        <v>1419</v>
      </c>
      <c r="G10" s="293" t="s">
        <v>1403</v>
      </c>
      <c r="H10" s="290" t="s">
        <v>873</v>
      </c>
      <c r="I10" s="293" t="s">
        <v>149</v>
      </c>
      <c r="K10" s="702"/>
    </row>
    <row r="11" spans="1:11" ht="15.75" customHeight="1" x14ac:dyDescent="0.25">
      <c r="A11" s="289" t="s">
        <v>849</v>
      </c>
      <c r="B11" s="289" t="s">
        <v>504</v>
      </c>
      <c r="C11" s="293" t="s">
        <v>979</v>
      </c>
      <c r="D11" s="288"/>
      <c r="E11" s="289" t="s">
        <v>16</v>
      </c>
      <c r="F11" s="293" t="s">
        <v>950</v>
      </c>
      <c r="G11" s="293" t="s">
        <v>979</v>
      </c>
      <c r="H11" s="289" t="s">
        <v>738</v>
      </c>
      <c r="I11" s="294" t="s">
        <v>530</v>
      </c>
      <c r="K11" s="701"/>
    </row>
    <row r="12" spans="1:11" ht="15.75" customHeight="1" x14ac:dyDescent="0.25">
      <c r="A12" s="289" t="s">
        <v>15</v>
      </c>
      <c r="B12" s="289" t="s">
        <v>15</v>
      </c>
      <c r="C12" s="293" t="s">
        <v>15</v>
      </c>
      <c r="D12" s="288"/>
      <c r="E12" s="289" t="s">
        <v>14</v>
      </c>
      <c r="F12" s="293" t="s">
        <v>13</v>
      </c>
      <c r="G12" s="293" t="s">
        <v>15</v>
      </c>
      <c r="H12" s="289" t="s">
        <v>13</v>
      </c>
      <c r="I12" s="294" t="s">
        <v>150</v>
      </c>
      <c r="K12" s="701"/>
    </row>
    <row r="13" spans="1:11" ht="15.75" customHeight="1" x14ac:dyDescent="0.25">
      <c r="A13" s="289" t="s">
        <v>164</v>
      </c>
      <c r="B13" s="289" t="s">
        <v>164</v>
      </c>
      <c r="C13" s="293" t="s">
        <v>51</v>
      </c>
      <c r="D13" s="288"/>
      <c r="E13" s="289" t="s">
        <v>164</v>
      </c>
      <c r="F13" s="293" t="s">
        <v>164</v>
      </c>
      <c r="G13" s="293" t="s">
        <v>51</v>
      </c>
      <c r="H13" s="289" t="s">
        <v>164</v>
      </c>
      <c r="I13" s="294" t="s">
        <v>51</v>
      </c>
      <c r="K13" s="701"/>
    </row>
    <row r="14" spans="1:11" ht="15.75" customHeight="1" x14ac:dyDescent="0.25">
      <c r="A14" s="289" t="s">
        <v>992</v>
      </c>
      <c r="B14" s="289" t="s">
        <v>1005</v>
      </c>
      <c r="C14" s="293" t="s">
        <v>992</v>
      </c>
      <c r="D14" s="288"/>
      <c r="E14" s="289" t="s">
        <v>972</v>
      </c>
      <c r="F14" s="293" t="s">
        <v>905</v>
      </c>
      <c r="G14" s="293" t="s">
        <v>1029</v>
      </c>
      <c r="H14" s="289" t="s">
        <v>972</v>
      </c>
      <c r="I14" s="289" t="s">
        <v>1086</v>
      </c>
      <c r="K14" s="692"/>
    </row>
    <row r="15" spans="1:11" ht="15.75" customHeight="1" x14ac:dyDescent="0.25">
      <c r="A15" s="289" t="s">
        <v>1340</v>
      </c>
      <c r="B15" s="289" t="s">
        <v>1340</v>
      </c>
      <c r="C15" s="293" t="s">
        <v>1336</v>
      </c>
      <c r="D15" s="288"/>
      <c r="E15" s="289" t="s">
        <v>941</v>
      </c>
      <c r="F15" s="293" t="s">
        <v>1375</v>
      </c>
      <c r="G15" s="293" t="s">
        <v>1401</v>
      </c>
      <c r="H15" s="289" t="s">
        <v>1447</v>
      </c>
      <c r="I15" s="295" t="s">
        <v>1460</v>
      </c>
      <c r="K15" s="700"/>
    </row>
    <row r="16" spans="1:11" ht="15.75" customHeight="1" x14ac:dyDescent="0.25">
      <c r="A16" s="289" t="s">
        <v>1369</v>
      </c>
      <c r="B16" s="289" t="s">
        <v>977</v>
      </c>
      <c r="C16" s="293" t="s">
        <v>982</v>
      </c>
      <c r="D16" s="288"/>
      <c r="E16" s="289" t="s">
        <v>1016</v>
      </c>
      <c r="F16" s="293" t="s">
        <v>951</v>
      </c>
      <c r="G16" s="293" t="s">
        <v>1376</v>
      </c>
      <c r="H16" s="289" t="s">
        <v>973</v>
      </c>
      <c r="I16" s="294" t="s">
        <v>1066</v>
      </c>
      <c r="K16" s="701"/>
    </row>
    <row r="17" spans="1:11" x14ac:dyDescent="0.25">
      <c r="A17" s="296" t="s">
        <v>181</v>
      </c>
      <c r="B17" s="296" t="s">
        <v>1385</v>
      </c>
      <c r="C17" s="296" t="s">
        <v>1678</v>
      </c>
      <c r="D17" s="296" t="s">
        <v>1457</v>
      </c>
      <c r="E17" s="296" t="s">
        <v>192</v>
      </c>
      <c r="F17" s="296" t="s">
        <v>1330</v>
      </c>
      <c r="G17" s="296" t="s">
        <v>194</v>
      </c>
      <c r="H17" s="273" t="s">
        <v>184</v>
      </c>
      <c r="I17" s="273" t="s">
        <v>1669</v>
      </c>
      <c r="K17" s="3"/>
    </row>
    <row r="18" spans="1:11" ht="15.75" customHeight="1" x14ac:dyDescent="0.25">
      <c r="A18" s="289" t="s">
        <v>909</v>
      </c>
      <c r="B18" s="293" t="s">
        <v>978</v>
      </c>
      <c r="C18" s="289" t="s">
        <v>904</v>
      </c>
      <c r="D18" s="289" t="s">
        <v>1063</v>
      </c>
      <c r="E18" s="289" t="s">
        <v>1176</v>
      </c>
      <c r="F18" s="289" t="s">
        <v>836</v>
      </c>
      <c r="G18" s="295" t="s">
        <v>1673</v>
      </c>
      <c r="H18" s="293" t="s">
        <v>690</v>
      </c>
      <c r="I18" s="295" t="s">
        <v>1582</v>
      </c>
      <c r="K18" s="3"/>
    </row>
    <row r="19" spans="1:11" ht="15.75" customHeight="1" x14ac:dyDescent="0.25">
      <c r="A19" s="289" t="s">
        <v>611</v>
      </c>
      <c r="B19" s="293" t="s">
        <v>73</v>
      </c>
      <c r="C19" s="289" t="s">
        <v>611</v>
      </c>
      <c r="D19" s="289" t="s">
        <v>165</v>
      </c>
      <c r="E19" s="289" t="s">
        <v>148</v>
      </c>
      <c r="F19" s="289" t="s">
        <v>165</v>
      </c>
      <c r="G19" s="294" t="s">
        <v>73</v>
      </c>
      <c r="H19" s="293" t="s">
        <v>73</v>
      </c>
      <c r="I19" s="294" t="s">
        <v>73</v>
      </c>
      <c r="K19" s="3"/>
    </row>
    <row r="20" spans="1:11" ht="15.75" customHeight="1" x14ac:dyDescent="0.25">
      <c r="A20" s="289" t="s">
        <v>910</v>
      </c>
      <c r="B20" s="293" t="s">
        <v>1441</v>
      </c>
      <c r="C20" s="289" t="s">
        <v>1677</v>
      </c>
      <c r="D20" s="289" t="s">
        <v>1461</v>
      </c>
      <c r="E20" s="289" t="s">
        <v>1177</v>
      </c>
      <c r="F20" s="289" t="s">
        <v>1251</v>
      </c>
      <c r="G20" s="289" t="s">
        <v>1674</v>
      </c>
      <c r="H20" s="293" t="s">
        <v>1378</v>
      </c>
      <c r="I20" s="289" t="s">
        <v>1670</v>
      </c>
    </row>
    <row r="21" spans="1:11" ht="15.75" customHeight="1" x14ac:dyDescent="0.25">
      <c r="A21" s="293" t="s">
        <v>41</v>
      </c>
      <c r="B21" s="293" t="s">
        <v>41</v>
      </c>
      <c r="C21" s="293" t="s">
        <v>41</v>
      </c>
      <c r="D21" s="401" t="s">
        <v>41</v>
      </c>
      <c r="E21" s="290" t="s">
        <v>161</v>
      </c>
      <c r="F21" s="290" t="s">
        <v>161</v>
      </c>
      <c r="G21" s="293" t="s">
        <v>41</v>
      </c>
      <c r="H21" s="293" t="s">
        <v>41</v>
      </c>
      <c r="I21" s="293" t="s">
        <v>41</v>
      </c>
    </row>
    <row r="22" spans="1:11" ht="15.75" customHeight="1" x14ac:dyDescent="0.25">
      <c r="A22" s="290" t="s">
        <v>1060</v>
      </c>
      <c r="B22" s="293" t="s">
        <v>31</v>
      </c>
      <c r="C22" s="290" t="s">
        <v>163</v>
      </c>
      <c r="D22" s="401" t="s">
        <v>31</v>
      </c>
      <c r="E22" s="290" t="s">
        <v>1046</v>
      </c>
      <c r="F22" s="290" t="s">
        <v>1079</v>
      </c>
      <c r="G22" s="293" t="s">
        <v>1046</v>
      </c>
      <c r="H22" s="293" t="s">
        <v>163</v>
      </c>
      <c r="I22" s="293" t="s">
        <v>1046</v>
      </c>
    </row>
    <row r="23" spans="1:11" ht="15.75" customHeight="1" x14ac:dyDescent="0.25">
      <c r="A23" s="290" t="s">
        <v>149</v>
      </c>
      <c r="B23" s="293" t="s">
        <v>842</v>
      </c>
      <c r="C23" s="290" t="s">
        <v>75</v>
      </c>
      <c r="D23" s="290" t="s">
        <v>793</v>
      </c>
      <c r="E23" s="290" t="s">
        <v>20</v>
      </c>
      <c r="F23" s="290" t="s">
        <v>673</v>
      </c>
      <c r="G23" s="293" t="s">
        <v>149</v>
      </c>
      <c r="H23" s="293" t="s">
        <v>744</v>
      </c>
      <c r="I23" s="293" t="s">
        <v>19</v>
      </c>
    </row>
    <row r="24" spans="1:11" ht="15.75" customHeight="1" x14ac:dyDescent="0.25">
      <c r="A24" s="289" t="s">
        <v>893</v>
      </c>
      <c r="B24" s="293" t="s">
        <v>979</v>
      </c>
      <c r="C24" s="289" t="s">
        <v>849</v>
      </c>
      <c r="D24" s="289" t="s">
        <v>147</v>
      </c>
      <c r="E24" s="289" t="s">
        <v>147</v>
      </c>
      <c r="F24" s="289" t="s">
        <v>683</v>
      </c>
      <c r="G24" s="294" t="s">
        <v>1675</v>
      </c>
      <c r="H24" s="293" t="s">
        <v>147</v>
      </c>
      <c r="I24" s="294" t="s">
        <v>1190</v>
      </c>
    </row>
    <row r="25" spans="1:11" ht="15.75" customHeight="1" x14ac:dyDescent="0.25">
      <c r="A25" s="289" t="s">
        <v>162</v>
      </c>
      <c r="B25" s="293" t="s">
        <v>15</v>
      </c>
      <c r="C25" s="289" t="s">
        <v>13</v>
      </c>
      <c r="D25" s="289" t="s">
        <v>15</v>
      </c>
      <c r="E25" s="289" t="s">
        <v>150</v>
      </c>
      <c r="F25" s="289" t="s">
        <v>1082</v>
      </c>
      <c r="G25" s="294" t="s">
        <v>150</v>
      </c>
      <c r="H25" s="293" t="s">
        <v>13</v>
      </c>
      <c r="I25" s="294" t="s">
        <v>150</v>
      </c>
    </row>
    <row r="26" spans="1:11" ht="15.75" customHeight="1" x14ac:dyDescent="0.25">
      <c r="A26" s="289" t="s">
        <v>164</v>
      </c>
      <c r="B26" s="293" t="s">
        <v>51</v>
      </c>
      <c r="C26" s="289" t="s">
        <v>164</v>
      </c>
      <c r="D26" s="289" t="s">
        <v>164</v>
      </c>
      <c r="E26" s="289" t="s">
        <v>203</v>
      </c>
      <c r="F26" s="289" t="s">
        <v>203</v>
      </c>
      <c r="G26" s="294" t="s">
        <v>203</v>
      </c>
      <c r="H26" s="293" t="s">
        <v>432</v>
      </c>
      <c r="I26" s="294" t="s">
        <v>164</v>
      </c>
    </row>
    <row r="27" spans="1:11" ht="15.75" customHeight="1" x14ac:dyDescent="0.25">
      <c r="A27" s="289" t="s">
        <v>1086</v>
      </c>
      <c r="B27" s="293" t="s">
        <v>1086</v>
      </c>
      <c r="C27" s="289" t="s">
        <v>1029</v>
      </c>
      <c r="D27" s="289" t="s">
        <v>1041</v>
      </c>
      <c r="E27" s="289" t="s">
        <v>1089</v>
      </c>
      <c r="F27" s="289" t="s">
        <v>1124</v>
      </c>
      <c r="G27" s="289" t="s">
        <v>1238</v>
      </c>
      <c r="H27" s="293" t="s">
        <v>1086</v>
      </c>
      <c r="I27" s="289" t="s">
        <v>1146</v>
      </c>
    </row>
    <row r="28" spans="1:11" ht="15.75" customHeight="1" x14ac:dyDescent="0.25">
      <c r="A28" s="289" t="s">
        <v>943</v>
      </c>
      <c r="B28" s="293" t="s">
        <v>1375</v>
      </c>
      <c r="C28" s="289" t="s">
        <v>943</v>
      </c>
      <c r="D28" s="289" t="s">
        <v>1265</v>
      </c>
      <c r="E28" s="289" t="s">
        <v>1014</v>
      </c>
      <c r="F28" s="289" t="s">
        <v>1065</v>
      </c>
      <c r="G28" s="295" t="s">
        <v>1298</v>
      </c>
      <c r="H28" s="293" t="s">
        <v>1099</v>
      </c>
      <c r="I28" s="295" t="s">
        <v>1671</v>
      </c>
    </row>
    <row r="29" spans="1:11" ht="15.75" customHeight="1" x14ac:dyDescent="0.25">
      <c r="A29" s="293" t="s">
        <v>1399</v>
      </c>
      <c r="B29" s="293" t="s">
        <v>967</v>
      </c>
      <c r="C29" s="289" t="s">
        <v>1431</v>
      </c>
      <c r="D29" s="289" t="s">
        <v>1064</v>
      </c>
      <c r="E29" s="289" t="s">
        <v>1178</v>
      </c>
      <c r="F29" s="289" t="s">
        <v>1250</v>
      </c>
      <c r="G29" s="294" t="s">
        <v>1676</v>
      </c>
      <c r="H29" s="293" t="s">
        <v>1098</v>
      </c>
      <c r="I29" s="294" t="s">
        <v>1583</v>
      </c>
    </row>
    <row r="30" spans="1:11" x14ac:dyDescent="0.25">
      <c r="A30" s="296" t="s">
        <v>181</v>
      </c>
      <c r="B30" s="296" t="s">
        <v>1385</v>
      </c>
      <c r="C30" s="296" t="s">
        <v>1377</v>
      </c>
      <c r="D30" s="296" t="s">
        <v>193</v>
      </c>
      <c r="E30" s="296" t="s">
        <v>192</v>
      </c>
      <c r="F30" s="296" t="s">
        <v>223</v>
      </c>
      <c r="G30" s="296" t="s">
        <v>194</v>
      </c>
      <c r="H30" s="273" t="s">
        <v>184</v>
      </c>
      <c r="I30" s="273" t="s">
        <v>191</v>
      </c>
    </row>
    <row r="31" spans="1:11" ht="15.75" customHeight="1" x14ac:dyDescent="0.25">
      <c r="A31" s="289" t="s">
        <v>912</v>
      </c>
      <c r="B31" s="295" t="s">
        <v>788</v>
      </c>
      <c r="C31" s="293" t="s">
        <v>980</v>
      </c>
      <c r="D31" s="295" t="s">
        <v>1746</v>
      </c>
      <c r="E31" s="289" t="s">
        <v>1175</v>
      </c>
      <c r="F31" s="289" t="s">
        <v>1697</v>
      </c>
      <c r="G31" s="295" t="s">
        <v>1755</v>
      </c>
      <c r="H31" s="289" t="s">
        <v>1063</v>
      </c>
      <c r="I31" s="295" t="s">
        <v>788</v>
      </c>
    </row>
    <row r="32" spans="1:11" ht="15.75" customHeight="1" x14ac:dyDescent="0.25">
      <c r="A32" s="289" t="s">
        <v>611</v>
      </c>
      <c r="B32" s="294" t="s">
        <v>73</v>
      </c>
      <c r="C32" s="293" t="s">
        <v>73</v>
      </c>
      <c r="D32" s="294" t="s">
        <v>73</v>
      </c>
      <c r="E32" s="289" t="s">
        <v>148</v>
      </c>
      <c r="F32" s="289" t="s">
        <v>165</v>
      </c>
      <c r="G32" s="294" t="s">
        <v>73</v>
      </c>
      <c r="H32" s="289" t="s">
        <v>165</v>
      </c>
      <c r="I32" s="294" t="s">
        <v>73</v>
      </c>
    </row>
    <row r="33" spans="1:9" ht="15.75" customHeight="1" x14ac:dyDescent="0.25">
      <c r="A33" s="289" t="s">
        <v>901</v>
      </c>
      <c r="B33" s="289" t="s">
        <v>1253</v>
      </c>
      <c r="C33" s="291" t="s">
        <v>1370</v>
      </c>
      <c r="D33" s="289" t="s">
        <v>1747</v>
      </c>
      <c r="E33" s="289" t="s">
        <v>1179</v>
      </c>
      <c r="F33" s="289" t="s">
        <v>1701</v>
      </c>
      <c r="G33" s="289" t="s">
        <v>1293</v>
      </c>
      <c r="H33" s="289" t="s">
        <v>1290</v>
      </c>
      <c r="I33" s="289" t="s">
        <v>1689</v>
      </c>
    </row>
    <row r="34" spans="1:9" ht="15.75" customHeight="1" x14ac:dyDescent="0.25">
      <c r="A34" s="293" t="s">
        <v>847</v>
      </c>
      <c r="B34" s="290" t="s">
        <v>161</v>
      </c>
      <c r="C34" s="293" t="s">
        <v>847</v>
      </c>
      <c r="D34" s="293" t="s">
        <v>41</v>
      </c>
      <c r="E34" s="290" t="s">
        <v>161</v>
      </c>
      <c r="F34" s="290" t="s">
        <v>161</v>
      </c>
      <c r="G34" s="293" t="s">
        <v>41</v>
      </c>
      <c r="H34" s="401" t="s">
        <v>41</v>
      </c>
      <c r="I34" s="290" t="s">
        <v>161</v>
      </c>
    </row>
    <row r="35" spans="1:9" ht="15.75" customHeight="1" x14ac:dyDescent="0.25">
      <c r="A35" s="290" t="s">
        <v>795</v>
      </c>
      <c r="B35" s="293" t="s">
        <v>1060</v>
      </c>
      <c r="C35" s="293" t="s">
        <v>848</v>
      </c>
      <c r="D35" s="293" t="s">
        <v>1060</v>
      </c>
      <c r="E35" s="290" t="s">
        <v>1046</v>
      </c>
      <c r="F35" s="290" t="s">
        <v>163</v>
      </c>
      <c r="G35" s="293" t="s">
        <v>795</v>
      </c>
      <c r="H35" s="401" t="s">
        <v>31</v>
      </c>
      <c r="I35" s="293" t="s">
        <v>1046</v>
      </c>
    </row>
    <row r="36" spans="1:9" ht="15.75" customHeight="1" x14ac:dyDescent="0.25">
      <c r="A36" s="290" t="s">
        <v>882</v>
      </c>
      <c r="B36" s="293" t="s">
        <v>149</v>
      </c>
      <c r="C36" s="293" t="s">
        <v>842</v>
      </c>
      <c r="D36" s="293" t="s">
        <v>99</v>
      </c>
      <c r="E36" s="290" t="s">
        <v>20</v>
      </c>
      <c r="F36" s="290" t="s">
        <v>479</v>
      </c>
      <c r="G36" s="293" t="s">
        <v>20</v>
      </c>
      <c r="H36" s="290" t="s">
        <v>793</v>
      </c>
      <c r="I36" s="293" t="s">
        <v>149</v>
      </c>
    </row>
    <row r="37" spans="1:9" ht="15.75" customHeight="1" x14ac:dyDescent="0.25">
      <c r="A37" s="289" t="s">
        <v>16</v>
      </c>
      <c r="B37" s="294" t="s">
        <v>530</v>
      </c>
      <c r="C37" s="293" t="s">
        <v>979</v>
      </c>
      <c r="D37" s="294" t="s">
        <v>1748</v>
      </c>
      <c r="E37" s="289" t="s">
        <v>147</v>
      </c>
      <c r="F37" s="289" t="s">
        <v>1699</v>
      </c>
      <c r="G37" s="294" t="s">
        <v>1757</v>
      </c>
      <c r="H37" s="289" t="s">
        <v>147</v>
      </c>
      <c r="I37" s="294" t="s">
        <v>530</v>
      </c>
    </row>
    <row r="38" spans="1:9" ht="15.75" customHeight="1" x14ac:dyDescent="0.25">
      <c r="A38" s="289" t="s">
        <v>162</v>
      </c>
      <c r="B38" s="294" t="s">
        <v>162</v>
      </c>
      <c r="C38" s="293" t="s">
        <v>15</v>
      </c>
      <c r="D38" s="294" t="s">
        <v>162</v>
      </c>
      <c r="E38" s="289" t="s">
        <v>150</v>
      </c>
      <c r="F38" s="289" t="s">
        <v>13</v>
      </c>
      <c r="G38" s="294" t="s">
        <v>796</v>
      </c>
      <c r="H38" s="289" t="s">
        <v>15</v>
      </c>
      <c r="I38" s="294" t="s">
        <v>150</v>
      </c>
    </row>
    <row r="39" spans="1:9" ht="15.75" customHeight="1" x14ac:dyDescent="0.25">
      <c r="A39" s="289" t="s">
        <v>164</v>
      </c>
      <c r="B39" s="294" t="s">
        <v>51</v>
      </c>
      <c r="C39" s="293" t="s">
        <v>51</v>
      </c>
      <c r="D39" s="294" t="s">
        <v>164</v>
      </c>
      <c r="E39" s="289" t="s">
        <v>203</v>
      </c>
      <c r="F39" s="289" t="s">
        <v>164</v>
      </c>
      <c r="G39" s="294" t="s">
        <v>203</v>
      </c>
      <c r="H39" s="289" t="s">
        <v>164</v>
      </c>
      <c r="I39" s="294" t="s">
        <v>51</v>
      </c>
    </row>
    <row r="40" spans="1:9" ht="15.75" customHeight="1" x14ac:dyDescent="0.25">
      <c r="A40" s="289" t="s">
        <v>1030</v>
      </c>
      <c r="B40" s="289" t="s">
        <v>1059</v>
      </c>
      <c r="C40" s="293" t="s">
        <v>1030</v>
      </c>
      <c r="D40" s="289" t="s">
        <v>1155</v>
      </c>
      <c r="E40" s="289" t="s">
        <v>1116</v>
      </c>
      <c r="F40" s="289" t="s">
        <v>1225</v>
      </c>
      <c r="G40" s="289" t="s">
        <v>1230</v>
      </c>
      <c r="H40" s="289" t="s">
        <v>1041</v>
      </c>
      <c r="I40" s="289" t="s">
        <v>1690</v>
      </c>
    </row>
    <row r="41" spans="1:9" ht="15.75" customHeight="1" x14ac:dyDescent="0.25">
      <c r="A41" s="289" t="s">
        <v>936</v>
      </c>
      <c r="B41" s="295" t="s">
        <v>1300</v>
      </c>
      <c r="C41" s="293" t="s">
        <v>1099</v>
      </c>
      <c r="D41" s="295" t="s">
        <v>1721</v>
      </c>
      <c r="E41" s="289" t="s">
        <v>1389</v>
      </c>
      <c r="F41" s="289" t="s">
        <v>1700</v>
      </c>
      <c r="G41" s="295" t="s">
        <v>1710</v>
      </c>
      <c r="H41" s="289" t="s">
        <v>1448</v>
      </c>
      <c r="I41" s="295" t="s">
        <v>1692</v>
      </c>
    </row>
    <row r="42" spans="1:9" ht="15.75" customHeight="1" x14ac:dyDescent="0.25">
      <c r="A42" s="293" t="s">
        <v>952</v>
      </c>
      <c r="B42" s="294" t="s">
        <v>1252</v>
      </c>
      <c r="C42" s="293" t="s">
        <v>982</v>
      </c>
      <c r="D42" s="294" t="s">
        <v>1639</v>
      </c>
      <c r="E42" s="289" t="s">
        <v>1178</v>
      </c>
      <c r="F42" s="289" t="s">
        <v>1698</v>
      </c>
      <c r="G42" s="294" t="s">
        <v>1756</v>
      </c>
      <c r="H42" s="289" t="s">
        <v>1064</v>
      </c>
      <c r="I42" s="294" t="s">
        <v>1691</v>
      </c>
    </row>
    <row r="43" spans="1:9" x14ac:dyDescent="0.25">
      <c r="A43" s="296" t="s">
        <v>181</v>
      </c>
      <c r="B43" s="296" t="s">
        <v>185</v>
      </c>
      <c r="C43" s="296" t="s">
        <v>182</v>
      </c>
      <c r="D43" s="296" t="s">
        <v>193</v>
      </c>
      <c r="E43" s="298" t="s">
        <v>1331</v>
      </c>
      <c r="F43" s="296" t="s">
        <v>223</v>
      </c>
      <c r="G43" s="296" t="s">
        <v>194</v>
      </c>
      <c r="H43" s="273" t="s">
        <v>1787</v>
      </c>
      <c r="I43" s="273" t="s">
        <v>191</v>
      </c>
    </row>
    <row r="44" spans="1:9" ht="15.75" customHeight="1" x14ac:dyDescent="0.25">
      <c r="A44" s="289" t="s">
        <v>1001</v>
      </c>
      <c r="B44" s="289" t="s">
        <v>1287</v>
      </c>
      <c r="C44" s="289" t="s">
        <v>1123</v>
      </c>
      <c r="D44" s="295" t="s">
        <v>1746</v>
      </c>
      <c r="E44" s="289" t="s">
        <v>1193</v>
      </c>
      <c r="F44" s="289"/>
      <c r="G44" s="293" t="s">
        <v>1373</v>
      </c>
      <c r="H44" s="289" t="s">
        <v>1784</v>
      </c>
      <c r="I44" s="288"/>
    </row>
    <row r="45" spans="1:9" ht="15.75" customHeight="1" x14ac:dyDescent="0.25">
      <c r="A45" s="289" t="s">
        <v>148</v>
      </c>
      <c r="B45" s="289" t="s">
        <v>148</v>
      </c>
      <c r="C45" s="289" t="s">
        <v>148</v>
      </c>
      <c r="D45" s="294" t="s">
        <v>73</v>
      </c>
      <c r="E45" s="289" t="s">
        <v>148</v>
      </c>
      <c r="F45" s="289"/>
      <c r="G45" s="293" t="s">
        <v>73</v>
      </c>
      <c r="H45" s="289" t="s">
        <v>165</v>
      </c>
      <c r="I45" s="288"/>
    </row>
    <row r="46" spans="1:9" ht="15.75" customHeight="1" x14ac:dyDescent="0.25">
      <c r="A46" s="289" t="s">
        <v>1002</v>
      </c>
      <c r="B46" s="289" t="s">
        <v>1286</v>
      </c>
      <c r="C46" s="289" t="s">
        <v>971</v>
      </c>
      <c r="D46" s="289" t="s">
        <v>1749</v>
      </c>
      <c r="E46" s="289" t="s">
        <v>1194</v>
      </c>
      <c r="F46" s="289"/>
      <c r="G46" s="291" t="s">
        <v>1758</v>
      </c>
      <c r="H46" s="289" t="s">
        <v>1786</v>
      </c>
      <c r="I46" s="288"/>
    </row>
    <row r="47" spans="1:9" ht="15.75" customHeight="1" x14ac:dyDescent="0.25">
      <c r="A47" s="290" t="s">
        <v>161</v>
      </c>
      <c r="B47" s="290" t="s">
        <v>161</v>
      </c>
      <c r="C47" s="290" t="s">
        <v>161</v>
      </c>
      <c r="D47" s="293" t="s">
        <v>41</v>
      </c>
      <c r="E47" s="290" t="s">
        <v>161</v>
      </c>
      <c r="F47" s="290"/>
      <c r="G47" s="293" t="s">
        <v>1346</v>
      </c>
      <c r="H47" s="401" t="s">
        <v>41</v>
      </c>
      <c r="I47" s="288"/>
    </row>
    <row r="48" spans="1:9" ht="15.75" customHeight="1" x14ac:dyDescent="0.25">
      <c r="A48" s="290" t="s">
        <v>31</v>
      </c>
      <c r="B48" s="290" t="s">
        <v>163</v>
      </c>
      <c r="C48" s="290" t="s">
        <v>1060</v>
      </c>
      <c r="D48" s="293" t="s">
        <v>1060</v>
      </c>
      <c r="E48" s="290" t="s">
        <v>1046</v>
      </c>
      <c r="F48" s="290"/>
      <c r="G48" s="293" t="s">
        <v>1396</v>
      </c>
      <c r="H48" s="401" t="s">
        <v>31</v>
      </c>
      <c r="I48" s="288"/>
    </row>
    <row r="49" spans="1:9" ht="15.75" customHeight="1" x14ac:dyDescent="0.25">
      <c r="A49" s="290" t="s">
        <v>610</v>
      </c>
      <c r="B49" s="290" t="s">
        <v>479</v>
      </c>
      <c r="C49" s="290" t="s">
        <v>20</v>
      </c>
      <c r="D49" s="293" t="s">
        <v>842</v>
      </c>
      <c r="E49" s="290" t="s">
        <v>20</v>
      </c>
      <c r="F49" s="290"/>
      <c r="G49" s="293" t="s">
        <v>1403</v>
      </c>
      <c r="H49" s="290" t="s">
        <v>49</v>
      </c>
      <c r="I49" s="288"/>
    </row>
    <row r="50" spans="1:9" ht="15.75" customHeight="1" x14ac:dyDescent="0.25">
      <c r="A50" s="289" t="s">
        <v>504</v>
      </c>
      <c r="B50" s="289" t="s">
        <v>147</v>
      </c>
      <c r="C50" s="289" t="s">
        <v>849</v>
      </c>
      <c r="D50" s="294" t="s">
        <v>1748</v>
      </c>
      <c r="E50" s="289" t="s">
        <v>147</v>
      </c>
      <c r="F50" s="289"/>
      <c r="G50" s="293" t="s">
        <v>979</v>
      </c>
      <c r="H50" s="289" t="s">
        <v>979</v>
      </c>
      <c r="I50" s="288"/>
    </row>
    <row r="51" spans="1:9" ht="15.75" customHeight="1" x14ac:dyDescent="0.25">
      <c r="A51" s="289" t="s">
        <v>15</v>
      </c>
      <c r="B51" s="289" t="s">
        <v>13</v>
      </c>
      <c r="C51" s="289" t="s">
        <v>162</v>
      </c>
      <c r="D51" s="294" t="s">
        <v>162</v>
      </c>
      <c r="E51" s="289" t="s">
        <v>150</v>
      </c>
      <c r="F51" s="289"/>
      <c r="G51" s="293" t="s">
        <v>15</v>
      </c>
      <c r="H51" s="289" t="s">
        <v>15</v>
      </c>
      <c r="I51" s="288"/>
    </row>
    <row r="52" spans="1:9" ht="15.75" customHeight="1" x14ac:dyDescent="0.25">
      <c r="A52" s="289" t="s">
        <v>164</v>
      </c>
      <c r="B52" s="289" t="s">
        <v>164</v>
      </c>
      <c r="C52" s="289" t="s">
        <v>205</v>
      </c>
      <c r="D52" s="294" t="s">
        <v>164</v>
      </c>
      <c r="E52" s="289" t="s">
        <v>203</v>
      </c>
      <c r="F52" s="289"/>
      <c r="G52" s="293" t="s">
        <v>51</v>
      </c>
      <c r="H52" s="289" t="s">
        <v>164</v>
      </c>
      <c r="I52" s="288"/>
    </row>
    <row r="53" spans="1:9" ht="15.75" customHeight="1" x14ac:dyDescent="0.25">
      <c r="A53" s="289" t="s">
        <v>1030</v>
      </c>
      <c r="B53" s="289" t="s">
        <v>1083</v>
      </c>
      <c r="C53" s="289" t="s">
        <v>1041</v>
      </c>
      <c r="D53" s="289" t="s">
        <v>1537</v>
      </c>
      <c r="E53" s="289" t="s">
        <v>1116</v>
      </c>
      <c r="F53" s="289"/>
      <c r="G53" s="293" t="s">
        <v>1576</v>
      </c>
      <c r="H53" s="289" t="s">
        <v>1244</v>
      </c>
      <c r="I53" s="288"/>
    </row>
    <row r="54" spans="1:9" ht="15.75" customHeight="1" x14ac:dyDescent="0.25">
      <c r="A54" s="289" t="s">
        <v>1014</v>
      </c>
      <c r="B54" s="289" t="s">
        <v>1149</v>
      </c>
      <c r="C54" s="289" t="s">
        <v>1039</v>
      </c>
      <c r="D54" s="295" t="s">
        <v>1751</v>
      </c>
      <c r="E54" s="289" t="s">
        <v>1172</v>
      </c>
      <c r="F54" s="289"/>
      <c r="G54" s="293" t="s">
        <v>1759</v>
      </c>
      <c r="H54" s="289" t="s">
        <v>1533</v>
      </c>
      <c r="I54" s="288"/>
    </row>
    <row r="55" spans="1:9" ht="15.75" customHeight="1" x14ac:dyDescent="0.25">
      <c r="A55" s="289" t="s">
        <v>994</v>
      </c>
      <c r="B55" s="289" t="s">
        <v>1209</v>
      </c>
      <c r="C55" s="289" t="s">
        <v>1026</v>
      </c>
      <c r="D55" s="294" t="s">
        <v>1750</v>
      </c>
      <c r="E55" s="289" t="s">
        <v>1195</v>
      </c>
      <c r="F55" s="289"/>
      <c r="G55" s="293" t="s">
        <v>1661</v>
      </c>
      <c r="H55" s="289" t="s">
        <v>1785</v>
      </c>
      <c r="I55" s="288"/>
    </row>
    <row r="56" spans="1:9" x14ac:dyDescent="0.25">
      <c r="A56" s="296" t="s">
        <v>181</v>
      </c>
      <c r="B56" s="296" t="s">
        <v>185</v>
      </c>
      <c r="C56" s="298" t="s">
        <v>182</v>
      </c>
      <c r="D56" s="296" t="s">
        <v>193</v>
      </c>
      <c r="E56" s="298" t="s">
        <v>187</v>
      </c>
      <c r="F56" s="296" t="s">
        <v>223</v>
      </c>
      <c r="G56" s="296" t="s">
        <v>1291</v>
      </c>
      <c r="H56" s="273" t="s">
        <v>184</v>
      </c>
      <c r="I56" s="273" t="s">
        <v>191</v>
      </c>
    </row>
    <row r="57" spans="1:9" ht="15.75" customHeight="1" x14ac:dyDescent="0.25">
      <c r="A57" s="289" t="s">
        <v>1201</v>
      </c>
      <c r="B57" s="289" t="s">
        <v>1288</v>
      </c>
      <c r="C57" s="289" t="s">
        <v>1254</v>
      </c>
      <c r="D57" s="288"/>
      <c r="E57" s="289" t="s">
        <v>1558</v>
      </c>
      <c r="F57" s="289"/>
      <c r="G57" s="295"/>
      <c r="H57" s="289"/>
      <c r="I57" s="288"/>
    </row>
    <row r="58" spans="1:9" ht="15.75" customHeight="1" x14ac:dyDescent="0.25">
      <c r="A58" s="289" t="s">
        <v>148</v>
      </c>
      <c r="B58" s="289" t="s">
        <v>148</v>
      </c>
      <c r="C58" s="289" t="s">
        <v>148</v>
      </c>
      <c r="D58" s="288"/>
      <c r="E58" s="289" t="s">
        <v>148</v>
      </c>
      <c r="F58" s="289"/>
      <c r="G58" s="294"/>
      <c r="H58" s="289"/>
      <c r="I58" s="288"/>
    </row>
    <row r="59" spans="1:9" ht="15.75" customHeight="1" x14ac:dyDescent="0.25">
      <c r="A59" s="289" t="s">
        <v>1202</v>
      </c>
      <c r="B59" s="289" t="s">
        <v>1289</v>
      </c>
      <c r="C59" s="289" t="s">
        <v>1255</v>
      </c>
      <c r="D59" s="288"/>
      <c r="E59" s="289" t="s">
        <v>1559</v>
      </c>
      <c r="F59" s="289"/>
      <c r="G59" s="289"/>
      <c r="H59" s="289"/>
      <c r="I59" s="288"/>
    </row>
    <row r="60" spans="1:9" ht="15.75" customHeight="1" x14ac:dyDescent="0.25">
      <c r="A60" s="290" t="s">
        <v>161</v>
      </c>
      <c r="B60" s="290" t="s">
        <v>161</v>
      </c>
      <c r="C60" s="290" t="s">
        <v>161</v>
      </c>
      <c r="D60" s="288"/>
      <c r="E60" s="290" t="s">
        <v>161</v>
      </c>
      <c r="F60" s="290"/>
      <c r="G60" s="290"/>
      <c r="H60" s="401"/>
      <c r="I60" s="288"/>
    </row>
    <row r="61" spans="1:9" ht="15.75" customHeight="1" x14ac:dyDescent="0.25">
      <c r="A61" s="290" t="s">
        <v>31</v>
      </c>
      <c r="B61" s="290" t="s">
        <v>163</v>
      </c>
      <c r="C61" s="290" t="s">
        <v>31</v>
      </c>
      <c r="D61" s="288"/>
      <c r="E61" s="290" t="s">
        <v>1046</v>
      </c>
      <c r="F61" s="290"/>
      <c r="G61" s="293"/>
      <c r="H61" s="401"/>
      <c r="I61" s="288"/>
    </row>
    <row r="62" spans="1:9" ht="15.75" customHeight="1" x14ac:dyDescent="0.25">
      <c r="A62" s="290" t="s">
        <v>49</v>
      </c>
      <c r="B62" s="290" t="s">
        <v>793</v>
      </c>
      <c r="C62" s="290" t="s">
        <v>801</v>
      </c>
      <c r="D62" s="288"/>
      <c r="E62" s="290" t="s">
        <v>20</v>
      </c>
      <c r="F62" s="290"/>
      <c r="G62" s="293"/>
      <c r="H62" s="290"/>
      <c r="I62" s="288"/>
    </row>
    <row r="63" spans="1:9" ht="15.75" customHeight="1" x14ac:dyDescent="0.25">
      <c r="A63" s="289" t="s">
        <v>737</v>
      </c>
      <c r="B63" s="289" t="s">
        <v>16</v>
      </c>
      <c r="C63" s="289" t="s">
        <v>849</v>
      </c>
      <c r="D63" s="288"/>
      <c r="E63" s="289" t="s">
        <v>147</v>
      </c>
      <c r="F63" s="289"/>
      <c r="G63" s="294"/>
      <c r="H63" s="289"/>
      <c r="I63" s="288"/>
    </row>
    <row r="64" spans="1:9" ht="15.75" customHeight="1" x14ac:dyDescent="0.25">
      <c r="A64" s="289" t="s">
        <v>15</v>
      </c>
      <c r="B64" s="289" t="s">
        <v>13</v>
      </c>
      <c r="C64" s="289" t="s">
        <v>15</v>
      </c>
      <c r="D64" s="288"/>
      <c r="E64" s="289" t="s">
        <v>150</v>
      </c>
      <c r="F64" s="289"/>
      <c r="G64" s="294"/>
      <c r="H64" s="289"/>
      <c r="I64" s="288"/>
    </row>
    <row r="65" spans="1:9" ht="15.75" customHeight="1" x14ac:dyDescent="0.25">
      <c r="A65" s="289" t="s">
        <v>203</v>
      </c>
      <c r="B65" s="289" t="s">
        <v>164</v>
      </c>
      <c r="C65" s="289" t="s">
        <v>51</v>
      </c>
      <c r="D65" s="288"/>
      <c r="E65" s="289" t="s">
        <v>203</v>
      </c>
      <c r="F65" s="289"/>
      <c r="G65" s="294"/>
      <c r="H65" s="289"/>
      <c r="I65" s="288"/>
    </row>
    <row r="66" spans="1:9" ht="15.75" customHeight="1" x14ac:dyDescent="0.25">
      <c r="A66" s="289" t="s">
        <v>1116</v>
      </c>
      <c r="B66" s="289" t="s">
        <v>1225</v>
      </c>
      <c r="C66" s="289" t="s">
        <v>1138</v>
      </c>
      <c r="D66" s="288"/>
      <c r="E66" s="289" t="s">
        <v>1208</v>
      </c>
      <c r="F66" s="289"/>
      <c r="G66" s="289"/>
      <c r="H66" s="289"/>
      <c r="I66" s="288"/>
    </row>
    <row r="67" spans="1:9" ht="15.75" customHeight="1" x14ac:dyDescent="0.25">
      <c r="A67" s="289" t="s">
        <v>1145</v>
      </c>
      <c r="B67" s="289" t="s">
        <v>1168</v>
      </c>
      <c r="C67" s="289" t="s">
        <v>1133</v>
      </c>
      <c r="D67" s="288"/>
      <c r="E67" s="289" t="s">
        <v>1156</v>
      </c>
      <c r="F67" s="289"/>
      <c r="G67" s="295"/>
      <c r="H67" s="289"/>
      <c r="I67" s="288"/>
    </row>
    <row r="68" spans="1:9" ht="15.75" customHeight="1" x14ac:dyDescent="0.25">
      <c r="A68" s="289" t="s">
        <v>1178</v>
      </c>
      <c r="B68" s="289" t="s">
        <v>1209</v>
      </c>
      <c r="C68" s="289" t="s">
        <v>1185</v>
      </c>
      <c r="D68" s="288"/>
      <c r="E68" s="289" t="s">
        <v>1560</v>
      </c>
      <c r="F68" s="289"/>
      <c r="G68" s="294"/>
      <c r="H68" s="289"/>
      <c r="I68" s="288"/>
    </row>
    <row r="69" spans="1:9" x14ac:dyDescent="0.25">
      <c r="A69" s="296" t="s">
        <v>181</v>
      </c>
      <c r="B69" s="296" t="s">
        <v>185</v>
      </c>
      <c r="C69" s="298" t="s">
        <v>182</v>
      </c>
      <c r="D69" s="296" t="s">
        <v>193</v>
      </c>
      <c r="E69" s="296" t="s">
        <v>192</v>
      </c>
      <c r="F69" s="296" t="s">
        <v>223</v>
      </c>
      <c r="G69" s="296" t="s">
        <v>194</v>
      </c>
      <c r="H69" s="273" t="s">
        <v>184</v>
      </c>
      <c r="I69" s="273" t="s">
        <v>191</v>
      </c>
    </row>
    <row r="70" spans="1:9" ht="15.75" customHeight="1" x14ac:dyDescent="0.25">
      <c r="A70" s="289" t="s">
        <v>1203</v>
      </c>
      <c r="B70" s="289" t="s">
        <v>1744</v>
      </c>
      <c r="C70" s="289" t="s">
        <v>1256</v>
      </c>
      <c r="D70" s="288"/>
      <c r="E70" s="289" t="s">
        <v>1555</v>
      </c>
      <c r="F70" s="288"/>
      <c r="G70" s="289"/>
      <c r="H70" s="289"/>
      <c r="I70" s="288"/>
    </row>
    <row r="71" spans="1:9" ht="15.75" customHeight="1" x14ac:dyDescent="0.25">
      <c r="A71" s="289" t="s">
        <v>148</v>
      </c>
      <c r="B71" s="289" t="s">
        <v>165</v>
      </c>
      <c r="C71" s="289" t="s">
        <v>148</v>
      </c>
      <c r="D71" s="288"/>
      <c r="E71" s="289" t="s">
        <v>148</v>
      </c>
      <c r="F71" s="288"/>
      <c r="G71" s="289"/>
      <c r="H71" s="289"/>
      <c r="I71" s="288"/>
    </row>
    <row r="72" spans="1:9" ht="15.75" customHeight="1" x14ac:dyDescent="0.25">
      <c r="A72" s="289" t="s">
        <v>1204</v>
      </c>
      <c r="B72" s="289" t="s">
        <v>1742</v>
      </c>
      <c r="C72" s="289" t="s">
        <v>1257</v>
      </c>
      <c r="D72" s="288"/>
      <c r="E72" s="289" t="s">
        <v>886</v>
      </c>
      <c r="F72" s="288"/>
      <c r="G72" s="289"/>
      <c r="H72" s="289"/>
      <c r="I72" s="288"/>
    </row>
    <row r="73" spans="1:9" ht="15.75" customHeight="1" x14ac:dyDescent="0.25">
      <c r="A73" s="290" t="s">
        <v>161</v>
      </c>
      <c r="B73" s="290" t="s">
        <v>161</v>
      </c>
      <c r="C73" s="290" t="s">
        <v>161</v>
      </c>
      <c r="D73" s="288"/>
      <c r="E73" s="290" t="s">
        <v>161</v>
      </c>
      <c r="F73" s="288"/>
      <c r="G73" s="290"/>
      <c r="H73" s="401"/>
      <c r="I73" s="288"/>
    </row>
    <row r="74" spans="1:9" ht="15.75" customHeight="1" x14ac:dyDescent="0.25">
      <c r="A74" s="290" t="s">
        <v>31</v>
      </c>
      <c r="B74" s="290" t="s">
        <v>31</v>
      </c>
      <c r="C74" s="290" t="s">
        <v>1060</v>
      </c>
      <c r="D74" s="288"/>
      <c r="E74" s="290" t="s">
        <v>1046</v>
      </c>
      <c r="F74" s="288"/>
      <c r="G74" s="290"/>
      <c r="H74" s="401"/>
      <c r="I74" s="288"/>
    </row>
    <row r="75" spans="1:9" ht="15.75" customHeight="1" x14ac:dyDescent="0.25">
      <c r="A75" s="290" t="s">
        <v>49</v>
      </c>
      <c r="B75" s="290" t="s">
        <v>75</v>
      </c>
      <c r="C75" s="290" t="s">
        <v>233</v>
      </c>
      <c r="D75" s="288"/>
      <c r="E75" s="290" t="s">
        <v>20</v>
      </c>
      <c r="F75" s="288"/>
      <c r="G75" s="290"/>
      <c r="H75" s="290"/>
      <c r="I75" s="288"/>
    </row>
    <row r="76" spans="1:9" ht="15.75" customHeight="1" x14ac:dyDescent="0.25">
      <c r="A76" s="289" t="s">
        <v>737</v>
      </c>
      <c r="B76" s="289" t="s">
        <v>1743</v>
      </c>
      <c r="C76" s="289" t="s">
        <v>849</v>
      </c>
      <c r="D76" s="288"/>
      <c r="E76" s="289" t="s">
        <v>147</v>
      </c>
      <c r="F76" s="288"/>
      <c r="G76" s="289"/>
      <c r="H76" s="289"/>
      <c r="I76" s="288"/>
    </row>
    <row r="77" spans="1:9" ht="15.75" customHeight="1" x14ac:dyDescent="0.25">
      <c r="A77" s="289" t="s">
        <v>15</v>
      </c>
      <c r="B77" s="289" t="s">
        <v>15</v>
      </c>
      <c r="C77" s="289" t="s">
        <v>162</v>
      </c>
      <c r="D77" s="288"/>
      <c r="E77" s="289" t="s">
        <v>150</v>
      </c>
      <c r="F77" s="288"/>
      <c r="G77" s="289"/>
      <c r="H77" s="289"/>
      <c r="I77" s="288"/>
    </row>
    <row r="78" spans="1:9" ht="15.75" customHeight="1" x14ac:dyDescent="0.25">
      <c r="A78" s="289" t="s">
        <v>203</v>
      </c>
      <c r="B78" s="289" t="s">
        <v>164</v>
      </c>
      <c r="C78" s="289" t="s">
        <v>51</v>
      </c>
      <c r="D78" s="288"/>
      <c r="E78" s="289" t="s">
        <v>203</v>
      </c>
      <c r="F78" s="288"/>
      <c r="G78" s="289"/>
      <c r="H78" s="289"/>
      <c r="I78" s="288"/>
    </row>
    <row r="79" spans="1:9" ht="15.75" customHeight="1" x14ac:dyDescent="0.25">
      <c r="A79" s="289" t="s">
        <v>1238</v>
      </c>
      <c r="B79" s="289" t="s">
        <v>1612</v>
      </c>
      <c r="C79" s="289" t="s">
        <v>1206</v>
      </c>
      <c r="D79" s="288"/>
      <c r="E79" s="289" t="s">
        <v>1556</v>
      </c>
      <c r="F79" s="288"/>
      <c r="G79" s="289"/>
      <c r="H79" s="289"/>
      <c r="I79" s="288"/>
    </row>
    <row r="80" spans="1:9" ht="15.75" customHeight="1" x14ac:dyDescent="0.25">
      <c r="A80" s="289" t="s">
        <v>1207</v>
      </c>
      <c r="B80" s="289" t="s">
        <v>1745</v>
      </c>
      <c r="C80" s="289" t="s">
        <v>1207</v>
      </c>
      <c r="D80" s="288"/>
      <c r="E80" s="289" t="s">
        <v>1557</v>
      </c>
      <c r="F80" s="288"/>
      <c r="G80" s="289"/>
      <c r="H80" s="289"/>
      <c r="I80" s="288"/>
    </row>
    <row r="81" spans="1:9" ht="15.75" customHeight="1" x14ac:dyDescent="0.25">
      <c r="A81" s="289" t="s">
        <v>1185</v>
      </c>
      <c r="B81" s="289" t="s">
        <v>1736</v>
      </c>
      <c r="C81" s="289" t="s">
        <v>1185</v>
      </c>
      <c r="D81" s="288"/>
      <c r="E81" s="289" t="s">
        <v>1545</v>
      </c>
      <c r="F81" s="288"/>
      <c r="G81" s="289"/>
      <c r="H81" s="289"/>
      <c r="I81" s="288"/>
    </row>
    <row r="82" spans="1:9" ht="15.75" customHeight="1" x14ac:dyDescent="0.25">
      <c r="A82" s="296" t="s">
        <v>181</v>
      </c>
      <c r="B82" s="296" t="s">
        <v>185</v>
      </c>
      <c r="C82" s="298" t="s">
        <v>182</v>
      </c>
      <c r="D82" s="296" t="s">
        <v>193</v>
      </c>
      <c r="E82" s="296" t="s">
        <v>192</v>
      </c>
      <c r="F82" s="296" t="s">
        <v>223</v>
      </c>
      <c r="G82" s="296" t="s">
        <v>194</v>
      </c>
      <c r="H82" s="298"/>
      <c r="I82" s="273" t="s">
        <v>191</v>
      </c>
    </row>
    <row r="83" spans="1:9" ht="15.75" customHeight="1" x14ac:dyDescent="0.25">
      <c r="A83" s="289" t="s">
        <v>1205</v>
      </c>
      <c r="B83" s="261"/>
      <c r="C83" s="289"/>
      <c r="D83" s="288"/>
      <c r="E83" s="289" t="s">
        <v>1763</v>
      </c>
      <c r="F83" s="288"/>
      <c r="G83" s="289"/>
      <c r="H83" s="295"/>
      <c r="I83" s="288"/>
    </row>
    <row r="84" spans="1:9" ht="15.75" customHeight="1" x14ac:dyDescent="0.25">
      <c r="A84" s="289" t="s">
        <v>148</v>
      </c>
      <c r="B84" s="261"/>
      <c r="C84" s="289"/>
      <c r="D84" s="288"/>
      <c r="E84" s="289" t="s">
        <v>165</v>
      </c>
      <c r="F84" s="288"/>
      <c r="G84" s="289"/>
      <c r="H84" s="294"/>
      <c r="I84" s="261"/>
    </row>
    <row r="85" spans="1:9" ht="15.75" customHeight="1" x14ac:dyDescent="0.25">
      <c r="A85" s="289" t="s">
        <v>902</v>
      </c>
      <c r="B85" s="261"/>
      <c r="C85" s="289"/>
      <c r="D85" s="288"/>
      <c r="E85" s="289" t="s">
        <v>1765</v>
      </c>
      <c r="F85" s="288"/>
      <c r="G85" s="289"/>
      <c r="H85" s="289"/>
      <c r="I85" s="261"/>
    </row>
    <row r="86" spans="1:9" ht="15.75" customHeight="1" x14ac:dyDescent="0.25">
      <c r="A86" s="290" t="s">
        <v>161</v>
      </c>
      <c r="B86" s="261"/>
      <c r="C86" s="290"/>
      <c r="D86" s="288"/>
      <c r="E86" s="290" t="s">
        <v>161</v>
      </c>
      <c r="F86" s="288"/>
      <c r="G86" s="290"/>
      <c r="H86" s="292"/>
      <c r="I86" s="261"/>
    </row>
    <row r="87" spans="1:9" ht="15.75" customHeight="1" x14ac:dyDescent="0.25">
      <c r="A87" s="290" t="s">
        <v>31</v>
      </c>
      <c r="B87" s="261"/>
      <c r="C87" s="290"/>
      <c r="D87" s="288"/>
      <c r="E87" s="290" t="s">
        <v>31</v>
      </c>
      <c r="F87" s="288"/>
      <c r="G87" s="290"/>
      <c r="H87" s="293"/>
      <c r="I87" s="261"/>
    </row>
    <row r="88" spans="1:9" ht="15.75" customHeight="1" x14ac:dyDescent="0.25">
      <c r="A88" s="290" t="s">
        <v>49</v>
      </c>
      <c r="B88" s="261"/>
      <c r="C88" s="290"/>
      <c r="D88" s="288"/>
      <c r="E88" s="290" t="s">
        <v>149</v>
      </c>
      <c r="F88" s="288"/>
      <c r="G88" s="290"/>
      <c r="H88" s="293"/>
      <c r="I88" s="261"/>
    </row>
    <row r="89" spans="1:9" ht="15.75" customHeight="1" x14ac:dyDescent="0.25">
      <c r="A89" s="289" t="s">
        <v>737</v>
      </c>
      <c r="B89" s="261"/>
      <c r="C89" s="289"/>
      <c r="D89" s="288"/>
      <c r="E89" s="289" t="s">
        <v>1764</v>
      </c>
      <c r="F89" s="288"/>
      <c r="G89" s="289"/>
      <c r="H89" s="294"/>
      <c r="I89" s="261"/>
    </row>
    <row r="90" spans="1:9" ht="15.75" customHeight="1" x14ac:dyDescent="0.25">
      <c r="A90" s="289" t="s">
        <v>15</v>
      </c>
      <c r="B90" s="261"/>
      <c r="C90" s="289"/>
      <c r="D90" s="288"/>
      <c r="E90" s="289" t="s">
        <v>15</v>
      </c>
      <c r="F90" s="288"/>
      <c r="G90" s="289"/>
      <c r="H90" s="294"/>
      <c r="I90" s="261"/>
    </row>
    <row r="91" spans="1:9" ht="15.75" customHeight="1" x14ac:dyDescent="0.25">
      <c r="A91" s="289" t="s">
        <v>203</v>
      </c>
      <c r="B91" s="261"/>
      <c r="C91" s="289"/>
      <c r="D91" s="288"/>
      <c r="E91" s="289" t="s">
        <v>164</v>
      </c>
      <c r="F91" s="288"/>
      <c r="G91" s="289"/>
      <c r="H91" s="294"/>
      <c r="I91" s="261"/>
    </row>
    <row r="92" spans="1:9" ht="15.75" customHeight="1" x14ac:dyDescent="0.25">
      <c r="A92" s="289" t="s">
        <v>1267</v>
      </c>
      <c r="B92" s="261"/>
      <c r="C92" s="289"/>
      <c r="D92" s="288"/>
      <c r="E92" s="289" t="s">
        <v>1690</v>
      </c>
      <c r="F92" s="288"/>
      <c r="G92" s="289"/>
      <c r="H92" s="289"/>
      <c r="I92" s="261"/>
    </row>
    <row r="93" spans="1:9" ht="15.75" customHeight="1" x14ac:dyDescent="0.25">
      <c r="A93" s="289" t="s">
        <v>1186</v>
      </c>
      <c r="B93" s="261"/>
      <c r="C93" s="289"/>
      <c r="D93" s="288"/>
      <c r="E93" s="289" t="s">
        <v>1766</v>
      </c>
      <c r="F93" s="288"/>
      <c r="G93" s="289"/>
      <c r="H93" s="295"/>
      <c r="I93" s="261"/>
    </row>
    <row r="94" spans="1:9" ht="15.75" customHeight="1" x14ac:dyDescent="0.25">
      <c r="A94" s="289" t="s">
        <v>1185</v>
      </c>
      <c r="B94" s="261"/>
      <c r="C94" s="289"/>
      <c r="D94" s="288"/>
      <c r="E94" s="289" t="s">
        <v>1698</v>
      </c>
      <c r="F94" s="288"/>
      <c r="G94" s="289"/>
      <c r="H94" s="294"/>
      <c r="I94" s="261"/>
    </row>
    <row r="95" spans="1:9" ht="15.75" customHeight="1" x14ac:dyDescent="0.25">
      <c r="A95" s="298" t="s">
        <v>181</v>
      </c>
      <c r="B95" s="298" t="s">
        <v>185</v>
      </c>
      <c r="C95" s="298" t="s">
        <v>182</v>
      </c>
      <c r="D95" s="298" t="s">
        <v>183</v>
      </c>
      <c r="E95" s="296" t="s">
        <v>192</v>
      </c>
      <c r="F95" s="296" t="s">
        <v>223</v>
      </c>
      <c r="G95" s="296"/>
      <c r="H95" s="298"/>
      <c r="I95" s="261"/>
    </row>
    <row r="96" spans="1:9" ht="15.75" customHeight="1" x14ac:dyDescent="0.25">
      <c r="A96" s="289" t="s">
        <v>1703</v>
      </c>
      <c r="B96" s="295"/>
      <c r="C96" s="347"/>
      <c r="D96" s="288"/>
      <c r="E96" s="295"/>
      <c r="F96" s="288"/>
      <c r="G96" s="289"/>
      <c r="H96" s="295"/>
      <c r="I96" s="261"/>
    </row>
    <row r="97" spans="1:9" ht="15.75" customHeight="1" x14ac:dyDescent="0.25">
      <c r="A97" s="289" t="s">
        <v>165</v>
      </c>
      <c r="B97" s="294"/>
      <c r="C97" s="294"/>
      <c r="D97" s="288"/>
      <c r="E97" s="294"/>
      <c r="F97" s="288"/>
      <c r="G97" s="289"/>
      <c r="H97" s="294"/>
      <c r="I97" s="261"/>
    </row>
    <row r="98" spans="1:9" ht="15.75" customHeight="1" x14ac:dyDescent="0.25">
      <c r="A98" s="289" t="s">
        <v>1704</v>
      </c>
      <c r="B98" s="289"/>
      <c r="C98" s="289"/>
      <c r="D98" s="288"/>
      <c r="E98" s="289"/>
      <c r="F98" s="288"/>
      <c r="G98" s="289"/>
      <c r="H98" s="289"/>
      <c r="I98" s="261"/>
    </row>
    <row r="99" spans="1:9" ht="15.75" customHeight="1" x14ac:dyDescent="0.25">
      <c r="A99" s="290" t="s">
        <v>161</v>
      </c>
      <c r="B99" s="290"/>
      <c r="C99" s="290"/>
      <c r="D99" s="288"/>
      <c r="E99" s="290"/>
      <c r="F99" s="288"/>
      <c r="G99" s="290"/>
      <c r="H99" s="292"/>
      <c r="I99" s="261"/>
    </row>
    <row r="100" spans="1:9" x14ac:dyDescent="0.25">
      <c r="A100" s="290" t="s">
        <v>31</v>
      </c>
      <c r="B100" s="293"/>
      <c r="C100" s="293"/>
      <c r="D100" s="288"/>
      <c r="E100" s="293"/>
      <c r="F100" s="288"/>
      <c r="G100" s="290"/>
      <c r="H100" s="293"/>
      <c r="I100" s="261"/>
    </row>
    <row r="101" spans="1:9" x14ac:dyDescent="0.25">
      <c r="A101" s="290" t="s">
        <v>744</v>
      </c>
      <c r="B101" s="293"/>
      <c r="C101" s="293"/>
      <c r="D101" s="288"/>
      <c r="E101" s="293"/>
      <c r="F101" s="288"/>
      <c r="G101" s="290"/>
      <c r="H101" s="293"/>
      <c r="I101" s="261"/>
    </row>
    <row r="102" spans="1:9" x14ac:dyDescent="0.25">
      <c r="A102" s="289" t="s">
        <v>508</v>
      </c>
      <c r="B102" s="294"/>
      <c r="C102" s="294"/>
      <c r="D102" s="288"/>
      <c r="E102" s="294"/>
      <c r="F102" s="288"/>
      <c r="G102" s="289"/>
      <c r="H102" s="294"/>
      <c r="I102" s="261"/>
    </row>
    <row r="103" spans="1:9" x14ac:dyDescent="0.25">
      <c r="A103" s="289" t="s">
        <v>15</v>
      </c>
      <c r="B103" s="294"/>
      <c r="C103" s="294"/>
      <c r="D103" s="288"/>
      <c r="E103" s="294"/>
      <c r="F103" s="288"/>
      <c r="G103" s="289"/>
      <c r="H103" s="294"/>
      <c r="I103" s="261"/>
    </row>
    <row r="104" spans="1:9" x14ac:dyDescent="0.25">
      <c r="A104" s="289" t="s">
        <v>1706</v>
      </c>
      <c r="B104" s="294"/>
      <c r="C104" s="294"/>
      <c r="D104" s="288"/>
      <c r="E104" s="294"/>
      <c r="F104" s="288"/>
      <c r="G104" s="289"/>
      <c r="H104" s="294"/>
      <c r="I104" s="261"/>
    </row>
    <row r="105" spans="1:9" x14ac:dyDescent="0.25">
      <c r="A105" s="289" t="s">
        <v>1244</v>
      </c>
      <c r="B105" s="289"/>
      <c r="C105" s="289"/>
      <c r="D105" s="288"/>
      <c r="E105" s="289"/>
      <c r="F105" s="288"/>
      <c r="G105" s="289"/>
      <c r="H105" s="289"/>
      <c r="I105" s="261"/>
    </row>
    <row r="106" spans="1:9" x14ac:dyDescent="0.25">
      <c r="A106" s="289" t="s">
        <v>1707</v>
      </c>
      <c r="B106" s="295"/>
      <c r="C106" s="295"/>
      <c r="D106" s="288"/>
      <c r="E106" s="295"/>
      <c r="F106" s="288"/>
      <c r="G106" s="289"/>
      <c r="H106" s="295"/>
      <c r="I106" s="261"/>
    </row>
    <row r="107" spans="1:9" ht="24" x14ac:dyDescent="0.25">
      <c r="A107" s="289" t="s">
        <v>1705</v>
      </c>
      <c r="B107" s="294"/>
      <c r="C107" s="294"/>
      <c r="D107" s="288"/>
      <c r="E107" s="294"/>
      <c r="F107" s="288"/>
      <c r="G107" s="289"/>
      <c r="H107" s="294"/>
      <c r="I107" s="261"/>
    </row>
    <row r="108" spans="1:9" ht="15.75" customHeight="1" x14ac:dyDescent="0.25">
      <c r="A108" s="298" t="s">
        <v>181</v>
      </c>
      <c r="B108" s="298" t="s">
        <v>185</v>
      </c>
      <c r="C108" s="298" t="s">
        <v>182</v>
      </c>
      <c r="D108" s="298" t="s">
        <v>183</v>
      </c>
      <c r="E108" s="296" t="s">
        <v>192</v>
      </c>
      <c r="F108" s="298" t="s">
        <v>186</v>
      </c>
      <c r="G108" s="296" t="s">
        <v>194</v>
      </c>
      <c r="H108" s="298" t="s">
        <v>184</v>
      </c>
      <c r="I108" s="261"/>
    </row>
    <row r="109" spans="1:9" x14ac:dyDescent="0.25">
      <c r="A109" s="288"/>
      <c r="B109" s="295"/>
      <c r="C109" s="347"/>
      <c r="D109" s="288"/>
      <c r="E109" s="295"/>
      <c r="F109" s="288"/>
      <c r="G109" s="289"/>
      <c r="H109" s="295"/>
    </row>
    <row r="110" spans="1:9" x14ac:dyDescent="0.25">
      <c r="A110" s="288"/>
      <c r="B110" s="294"/>
      <c r="C110" s="294"/>
      <c r="D110" s="288"/>
      <c r="E110" s="294"/>
      <c r="F110" s="288"/>
      <c r="G110" s="289"/>
      <c r="H110" s="294"/>
    </row>
    <row r="111" spans="1:9" x14ac:dyDescent="0.25">
      <c r="A111" s="288"/>
      <c r="B111" s="289"/>
      <c r="C111" s="289"/>
      <c r="D111" s="288"/>
      <c r="E111" s="289"/>
      <c r="F111" s="288"/>
      <c r="G111" s="289"/>
      <c r="H111" s="289"/>
    </row>
    <row r="112" spans="1:9" ht="17.25" customHeight="1" x14ac:dyDescent="0.25">
      <c r="A112" s="288"/>
      <c r="B112" s="290"/>
      <c r="C112" s="290"/>
      <c r="D112" s="288"/>
      <c r="E112" s="290"/>
      <c r="F112" s="288"/>
      <c r="G112" s="290"/>
      <c r="H112" s="292"/>
    </row>
    <row r="113" spans="1:8" ht="17.25" customHeight="1" x14ac:dyDescent="0.25">
      <c r="A113" s="288"/>
      <c r="B113" s="293"/>
      <c r="C113" s="293"/>
      <c r="D113" s="288"/>
      <c r="E113" s="293"/>
      <c r="F113" s="288"/>
      <c r="G113" s="290"/>
      <c r="H113" s="293"/>
    </row>
    <row r="114" spans="1:8" ht="17.25" customHeight="1" x14ac:dyDescent="0.25">
      <c r="A114" s="288"/>
      <c r="B114" s="293"/>
      <c r="C114" s="293"/>
      <c r="D114" s="288"/>
      <c r="E114" s="293"/>
      <c r="F114" s="288"/>
      <c r="G114" s="290"/>
      <c r="H114" s="293"/>
    </row>
    <row r="115" spans="1:8" ht="17.25" customHeight="1" x14ac:dyDescent="0.25">
      <c r="A115" s="288"/>
      <c r="B115" s="294"/>
      <c r="C115" s="294"/>
      <c r="D115" s="288"/>
      <c r="E115" s="294"/>
      <c r="F115" s="288"/>
      <c r="G115" s="289"/>
      <c r="H115" s="294"/>
    </row>
    <row r="116" spans="1:8" ht="17.25" customHeight="1" x14ac:dyDescent="0.25">
      <c r="A116" s="288"/>
      <c r="B116" s="294"/>
      <c r="C116" s="294"/>
      <c r="D116" s="288"/>
      <c r="E116" s="294"/>
      <c r="F116" s="288"/>
      <c r="G116" s="289"/>
      <c r="H116" s="294"/>
    </row>
    <row r="117" spans="1:8" ht="17.25" customHeight="1" x14ac:dyDescent="0.25">
      <c r="A117" s="288"/>
      <c r="B117" s="294"/>
      <c r="C117" s="294"/>
      <c r="D117" s="288"/>
      <c r="E117" s="294"/>
      <c r="F117" s="288"/>
      <c r="G117" s="289"/>
      <c r="H117" s="294"/>
    </row>
    <row r="118" spans="1:8" ht="17.25" customHeight="1" x14ac:dyDescent="0.25">
      <c r="A118" s="288"/>
      <c r="B118" s="289"/>
      <c r="C118" s="289"/>
      <c r="D118" s="288"/>
      <c r="E118" s="289"/>
      <c r="F118" s="288"/>
      <c r="G118" s="289"/>
      <c r="H118" s="289"/>
    </row>
    <row r="119" spans="1:8" ht="17.25" customHeight="1" x14ac:dyDescent="0.25">
      <c r="A119" s="288"/>
      <c r="B119" s="295"/>
      <c r="C119" s="295"/>
      <c r="D119" s="288"/>
      <c r="E119" s="295"/>
      <c r="F119" s="288"/>
      <c r="G119" s="289"/>
      <c r="H119" s="295"/>
    </row>
    <row r="120" spans="1:8" ht="17.25" customHeight="1" x14ac:dyDescent="0.25">
      <c r="A120" s="288"/>
      <c r="B120" s="294"/>
      <c r="C120" s="294"/>
      <c r="D120" s="288"/>
      <c r="E120" s="294"/>
      <c r="F120" s="288"/>
      <c r="G120" s="289"/>
      <c r="H120" s="294"/>
    </row>
    <row r="121" spans="1:8" ht="17.25" customHeight="1" x14ac:dyDescent="0.25">
      <c r="A121" s="298" t="s">
        <v>181</v>
      </c>
      <c r="B121" s="298" t="s">
        <v>185</v>
      </c>
      <c r="C121" s="298" t="s">
        <v>182</v>
      </c>
      <c r="D121" s="298" t="s">
        <v>183</v>
      </c>
      <c r="E121" s="296" t="s">
        <v>192</v>
      </c>
      <c r="F121" s="298" t="s">
        <v>186</v>
      </c>
      <c r="G121" s="298" t="s">
        <v>188</v>
      </c>
      <c r="H121" s="298" t="s">
        <v>184</v>
      </c>
    </row>
    <row r="122" spans="1:8" x14ac:dyDescent="0.25">
      <c r="A122" s="288"/>
      <c r="B122" s="295"/>
      <c r="C122" s="288"/>
      <c r="D122" s="288"/>
      <c r="E122" s="295"/>
      <c r="F122" s="288"/>
      <c r="G122" s="288"/>
      <c r="H122" s="288"/>
    </row>
    <row r="123" spans="1:8" x14ac:dyDescent="0.25">
      <c r="A123" s="288"/>
      <c r="B123" s="294"/>
      <c r="C123" s="288"/>
      <c r="D123" s="288"/>
      <c r="E123" s="294"/>
      <c r="F123" s="288"/>
      <c r="G123" s="288"/>
      <c r="H123" s="288"/>
    </row>
    <row r="124" spans="1:8" x14ac:dyDescent="0.25">
      <c r="A124" s="288"/>
      <c r="B124" s="289"/>
      <c r="C124" s="288"/>
      <c r="D124" s="288"/>
      <c r="E124" s="289"/>
      <c r="F124" s="288"/>
      <c r="G124" s="288"/>
      <c r="H124" s="288"/>
    </row>
    <row r="125" spans="1:8" x14ac:dyDescent="0.25">
      <c r="A125" s="288"/>
      <c r="B125" s="290"/>
      <c r="C125" s="288"/>
      <c r="D125" s="288"/>
      <c r="E125" s="290"/>
      <c r="F125" s="288"/>
      <c r="G125" s="288"/>
      <c r="H125" s="288"/>
    </row>
    <row r="126" spans="1:8" x14ac:dyDescent="0.25">
      <c r="A126" s="288"/>
      <c r="B126" s="293"/>
      <c r="C126" s="288"/>
      <c r="D126" s="288"/>
      <c r="E126" s="293"/>
      <c r="F126" s="288"/>
      <c r="G126" s="288"/>
      <c r="H126" s="288"/>
    </row>
    <row r="127" spans="1:8" x14ac:dyDescent="0.25">
      <c r="A127" s="288"/>
      <c r="B127" s="293"/>
      <c r="C127" s="288"/>
      <c r="D127" s="288"/>
      <c r="E127" s="293"/>
      <c r="F127" s="288"/>
      <c r="G127" s="288"/>
      <c r="H127" s="288"/>
    </row>
    <row r="128" spans="1:8" x14ac:dyDescent="0.25">
      <c r="A128" s="288"/>
      <c r="B128" s="294"/>
      <c r="C128" s="288"/>
      <c r="D128" s="288"/>
      <c r="E128" s="294"/>
      <c r="F128" s="288"/>
      <c r="G128" s="288"/>
      <c r="H128" s="288"/>
    </row>
    <row r="129" spans="1:8" x14ac:dyDescent="0.25">
      <c r="A129" s="288"/>
      <c r="B129" s="294"/>
      <c r="C129" s="288"/>
      <c r="D129" s="288"/>
      <c r="E129" s="294"/>
      <c r="F129" s="288"/>
      <c r="G129" s="288"/>
      <c r="H129" s="288"/>
    </row>
    <row r="130" spans="1:8" x14ac:dyDescent="0.25">
      <c r="A130" s="288"/>
      <c r="B130" s="294"/>
      <c r="C130" s="288"/>
      <c r="D130" s="288"/>
      <c r="E130" s="294"/>
      <c r="F130" s="288"/>
      <c r="G130" s="288"/>
      <c r="H130" s="288"/>
    </row>
    <row r="131" spans="1:8" x14ac:dyDescent="0.25">
      <c r="A131" s="288"/>
      <c r="B131" s="289"/>
      <c r="C131" s="288"/>
      <c r="D131" s="288"/>
      <c r="E131" s="289"/>
      <c r="F131" s="288"/>
      <c r="G131" s="288"/>
      <c r="H131" s="288"/>
    </row>
    <row r="132" spans="1:8" x14ac:dyDescent="0.25">
      <c r="A132" s="288"/>
      <c r="B132" s="295"/>
      <c r="C132" s="288"/>
      <c r="D132" s="288"/>
      <c r="E132" s="295"/>
      <c r="F132" s="288"/>
      <c r="G132" s="288"/>
      <c r="H132" s="288"/>
    </row>
    <row r="133" spans="1:8" x14ac:dyDescent="0.25">
      <c r="A133" s="288"/>
      <c r="B133" s="294"/>
      <c r="C133" s="288"/>
      <c r="D133" s="288"/>
      <c r="E133" s="294"/>
      <c r="F133" s="288"/>
      <c r="G133" s="288"/>
      <c r="H133" s="288"/>
    </row>
    <row r="134" spans="1:8" ht="17.25" customHeight="1" x14ac:dyDescent="0.25">
      <c r="A134" s="298" t="s">
        <v>181</v>
      </c>
      <c r="B134" s="298" t="s">
        <v>185</v>
      </c>
      <c r="C134" s="298" t="s">
        <v>182</v>
      </c>
      <c r="D134" s="298" t="s">
        <v>183</v>
      </c>
      <c r="E134" s="296" t="s">
        <v>192</v>
      </c>
      <c r="F134" s="298" t="s">
        <v>186</v>
      </c>
      <c r="G134" s="298" t="s">
        <v>188</v>
      </c>
      <c r="H134" s="298" t="s">
        <v>184</v>
      </c>
    </row>
    <row r="135" spans="1:8" x14ac:dyDescent="0.25">
      <c r="A135" s="288"/>
      <c r="B135" s="295"/>
      <c r="C135" s="288"/>
      <c r="D135" s="288"/>
      <c r="E135" s="288"/>
      <c r="F135" s="288"/>
      <c r="G135" s="288"/>
      <c r="H135" s="288"/>
    </row>
    <row r="136" spans="1:8" x14ac:dyDescent="0.25">
      <c r="A136" s="288"/>
      <c r="B136" s="294"/>
      <c r="C136" s="288"/>
      <c r="D136" s="288"/>
      <c r="E136" s="288"/>
      <c r="F136" s="288"/>
      <c r="G136" s="288"/>
      <c r="H136" s="288"/>
    </row>
    <row r="137" spans="1:8" x14ac:dyDescent="0.25">
      <c r="A137" s="288"/>
      <c r="B137" s="289"/>
      <c r="C137" s="288"/>
      <c r="D137" s="288"/>
      <c r="E137" s="288"/>
      <c r="F137" s="288"/>
      <c r="G137" s="288"/>
      <c r="H137" s="288"/>
    </row>
    <row r="138" spans="1:8" x14ac:dyDescent="0.25">
      <c r="A138" s="288"/>
      <c r="B138" s="290"/>
      <c r="C138" s="288"/>
      <c r="D138" s="288"/>
      <c r="E138" s="288"/>
      <c r="F138" s="288"/>
      <c r="G138" s="288"/>
      <c r="H138" s="288"/>
    </row>
    <row r="139" spans="1:8" x14ac:dyDescent="0.25">
      <c r="A139" s="374"/>
      <c r="B139" s="373"/>
      <c r="C139" s="374"/>
      <c r="D139" s="374"/>
      <c r="F139" s="374"/>
      <c r="G139" s="374"/>
      <c r="H139" s="374"/>
    </row>
    <row r="140" spans="1:8" x14ac:dyDescent="0.25">
      <c r="A140" s="288"/>
      <c r="B140" s="293"/>
      <c r="C140" s="288"/>
      <c r="D140" s="288"/>
      <c r="F140" s="288"/>
      <c r="G140" s="288"/>
      <c r="H140" s="288"/>
    </row>
    <row r="141" spans="1:8" x14ac:dyDescent="0.25">
      <c r="A141" s="288"/>
      <c r="B141" s="294"/>
      <c r="C141" s="288"/>
      <c r="D141" s="288"/>
      <c r="F141" s="288"/>
      <c r="G141" s="288"/>
      <c r="H141" s="288"/>
    </row>
    <row r="142" spans="1:8" x14ac:dyDescent="0.25">
      <c r="A142" s="288"/>
      <c r="B142" s="294"/>
      <c r="C142" s="261"/>
      <c r="D142" s="261"/>
      <c r="F142" s="261"/>
      <c r="G142" s="261"/>
      <c r="H142" s="261"/>
    </row>
    <row r="143" spans="1:8" x14ac:dyDescent="0.25">
      <c r="A143" s="288"/>
      <c r="B143" s="294"/>
      <c r="C143" s="261"/>
      <c r="D143" s="261"/>
      <c r="F143" s="261"/>
      <c r="G143" s="261"/>
      <c r="H143" s="261"/>
    </row>
    <row r="144" spans="1:8" x14ac:dyDescent="0.25">
      <c r="A144" s="288"/>
      <c r="B144" s="289"/>
      <c r="C144" s="261"/>
      <c r="D144" s="261"/>
      <c r="F144" s="261"/>
      <c r="G144" s="261"/>
      <c r="H144" s="261"/>
    </row>
    <row r="145" spans="1:8" x14ac:dyDescent="0.25">
      <c r="A145" s="288"/>
      <c r="B145" s="295"/>
      <c r="C145" s="261"/>
      <c r="D145" s="261"/>
      <c r="F145" s="261"/>
      <c r="G145" s="261"/>
      <c r="H145" s="261"/>
    </row>
    <row r="146" spans="1:8" x14ac:dyDescent="0.25">
      <c r="A146" s="288"/>
      <c r="B146" s="294"/>
      <c r="C146" s="261"/>
      <c r="D146" s="261"/>
      <c r="F146" s="261"/>
      <c r="G146" s="261"/>
      <c r="H146" s="261"/>
    </row>
    <row r="147" spans="1:8" ht="17.25" customHeight="1" x14ac:dyDescent="0.25">
      <c r="A147" s="299" t="s">
        <v>181</v>
      </c>
      <c r="B147" s="299" t="s">
        <v>185</v>
      </c>
      <c r="C147" s="299" t="s">
        <v>182</v>
      </c>
      <c r="D147" s="299" t="s">
        <v>183</v>
      </c>
      <c r="E147" s="296" t="s">
        <v>192</v>
      </c>
      <c r="F147" s="298" t="s">
        <v>186</v>
      </c>
      <c r="G147" s="299" t="s">
        <v>188</v>
      </c>
      <c r="H147" s="299" t="s">
        <v>184</v>
      </c>
    </row>
    <row r="148" spans="1:8" x14ac:dyDescent="0.25">
      <c r="A148" s="261"/>
      <c r="B148" s="295"/>
      <c r="C148" s="261"/>
      <c r="D148" s="261"/>
      <c r="E148" s="261"/>
      <c r="F148" s="261"/>
      <c r="G148" s="261"/>
      <c r="H148" s="261"/>
    </row>
    <row r="149" spans="1:8" x14ac:dyDescent="0.25">
      <c r="A149" s="261"/>
      <c r="B149" s="294"/>
      <c r="C149" s="261"/>
      <c r="D149" s="261"/>
      <c r="E149" s="261"/>
      <c r="F149" s="261"/>
      <c r="G149" s="261"/>
      <c r="H149" s="261"/>
    </row>
    <row r="150" spans="1:8" x14ac:dyDescent="0.25">
      <c r="B150" s="289"/>
    </row>
    <row r="151" spans="1:8" x14ac:dyDescent="0.25">
      <c r="B151" s="290"/>
    </row>
    <row r="152" spans="1:8" x14ac:dyDescent="0.25">
      <c r="B152" s="293"/>
    </row>
    <row r="153" spans="1:8" x14ac:dyDescent="0.25">
      <c r="B153" s="293"/>
    </row>
    <row r="154" spans="1:8" x14ac:dyDescent="0.25">
      <c r="B154" s="294"/>
    </row>
    <row r="155" spans="1:8" x14ac:dyDescent="0.25">
      <c r="B155" s="294"/>
    </row>
    <row r="156" spans="1:8" x14ac:dyDescent="0.25">
      <c r="B156" s="294"/>
    </row>
    <row r="157" spans="1:8" x14ac:dyDescent="0.25">
      <c r="B157" s="289"/>
    </row>
    <row r="158" spans="1:8" x14ac:dyDescent="0.25">
      <c r="B158" s="295"/>
    </row>
    <row r="159" spans="1:8" x14ac:dyDescent="0.25">
      <c r="B159" s="294"/>
    </row>
  </sheetData>
  <mergeCells count="4">
    <mergeCell ref="A1:E1"/>
    <mergeCell ref="A2:E2"/>
    <mergeCell ref="A3:E3"/>
    <mergeCell ref="G3:I3"/>
  </mergeCells>
  <pageMargins left="0.25" right="0" top="0.25" bottom="0" header="0.3" footer="0"/>
  <pageSetup paperSize="9" scale="5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zoomScaleNormal="100" workbookViewId="0">
      <selection sqref="A1:F1"/>
    </sheetView>
  </sheetViews>
  <sheetFormatPr defaultRowHeight="15" x14ac:dyDescent="0.25"/>
  <cols>
    <col min="1" max="1" width="18.28515625" style="260" customWidth="1"/>
    <col min="2" max="2" width="18.140625" style="260" customWidth="1"/>
    <col min="3" max="3" width="12.140625" style="260" customWidth="1"/>
    <col min="4" max="4" width="16.7109375" style="260" customWidth="1"/>
    <col min="5" max="5" width="18" style="260" customWidth="1"/>
    <col min="6" max="6" width="27.42578125" style="260" customWidth="1"/>
    <col min="7" max="7" width="21.5703125" style="260" customWidth="1"/>
    <col min="8" max="9" width="14.5703125" style="260" customWidth="1"/>
    <col min="10" max="16384" width="9.140625" style="260"/>
  </cols>
  <sheetData>
    <row r="1" spans="1:11" ht="31.5" customHeight="1" x14ac:dyDescent="0.25">
      <c r="A1" s="744" t="s">
        <v>1439</v>
      </c>
      <c r="B1" s="744"/>
      <c r="C1" s="744"/>
      <c r="D1" s="744"/>
      <c r="E1" s="744"/>
      <c r="F1" s="744"/>
      <c r="H1" s="745" t="s">
        <v>1440</v>
      </c>
      <c r="I1" s="745"/>
    </row>
    <row r="2" spans="1:11" ht="19.5" customHeight="1" x14ac:dyDescent="0.25">
      <c r="A2" s="746" t="s">
        <v>7</v>
      </c>
      <c r="B2" s="746" t="s">
        <v>47</v>
      </c>
      <c r="C2" s="746" t="s">
        <v>199</v>
      </c>
      <c r="D2" s="746"/>
      <c r="E2" s="747" t="s">
        <v>32</v>
      </c>
      <c r="F2" s="746" t="s">
        <v>591</v>
      </c>
      <c r="G2" s="601"/>
      <c r="H2" s="749" t="s">
        <v>7</v>
      </c>
      <c r="I2" s="749" t="s">
        <v>47</v>
      </c>
    </row>
    <row r="3" spans="1:11" ht="19.5" customHeight="1" x14ac:dyDescent="0.25">
      <c r="A3" s="746"/>
      <c r="B3" s="746"/>
      <c r="C3" s="722" t="s">
        <v>5</v>
      </c>
      <c r="D3" s="722" t="s">
        <v>152</v>
      </c>
      <c r="E3" s="748"/>
      <c r="F3" s="746"/>
      <c r="G3" s="601"/>
      <c r="H3" s="750"/>
      <c r="I3" s="750"/>
    </row>
    <row r="4" spans="1:11" s="607" customFormat="1" ht="24" customHeight="1" x14ac:dyDescent="0.25">
      <c r="A4" s="603" t="s">
        <v>11</v>
      </c>
      <c r="B4" s="604">
        <v>884029</v>
      </c>
      <c r="C4" s="604">
        <v>159967</v>
      </c>
      <c r="D4" s="604">
        <v>421208</v>
      </c>
      <c r="E4" s="605">
        <f>+B4-(C4+D4)</f>
        <v>302854</v>
      </c>
      <c r="F4" s="606"/>
      <c r="H4" s="603" t="s">
        <v>11</v>
      </c>
      <c r="I4" s="604">
        <v>884029</v>
      </c>
    </row>
    <row r="5" spans="1:11" s="607" customFormat="1" ht="24" customHeight="1" x14ac:dyDescent="0.25">
      <c r="A5" s="603" t="s">
        <v>17</v>
      </c>
      <c r="B5" s="603">
        <v>68585</v>
      </c>
      <c r="C5" s="603">
        <v>46745</v>
      </c>
      <c r="D5" s="603">
        <v>21840</v>
      </c>
      <c r="E5" s="605">
        <f t="shared" ref="E5:E10" si="0">+B5-(C5+D5)</f>
        <v>0</v>
      </c>
      <c r="F5" s="608"/>
      <c r="H5" s="603" t="s">
        <v>17</v>
      </c>
      <c r="I5" s="603">
        <v>68585</v>
      </c>
    </row>
    <row r="6" spans="1:11" s="607" customFormat="1" ht="24" customHeight="1" x14ac:dyDescent="0.25">
      <c r="A6" s="603" t="s">
        <v>24</v>
      </c>
      <c r="B6" s="603">
        <v>235737</v>
      </c>
      <c r="C6" s="603">
        <v>235737</v>
      </c>
      <c r="D6" s="604"/>
      <c r="E6" s="605">
        <f t="shared" si="0"/>
        <v>0</v>
      </c>
      <c r="F6" s="608"/>
      <c r="H6" s="603" t="s">
        <v>24</v>
      </c>
      <c r="I6" s="603">
        <v>235737</v>
      </c>
    </row>
    <row r="7" spans="1:11" s="607" customFormat="1" ht="24" customHeight="1" x14ac:dyDescent="0.25">
      <c r="A7" s="603" t="s">
        <v>42</v>
      </c>
      <c r="B7" s="603">
        <v>356000</v>
      </c>
      <c r="C7" s="603">
        <v>276000</v>
      </c>
      <c r="D7" s="603"/>
      <c r="E7" s="605">
        <f t="shared" si="0"/>
        <v>80000</v>
      </c>
      <c r="F7" s="609"/>
      <c r="H7" s="603" t="s">
        <v>42</v>
      </c>
      <c r="I7" s="603">
        <v>356000</v>
      </c>
    </row>
    <row r="8" spans="1:11" s="607" customFormat="1" ht="24" customHeight="1" x14ac:dyDescent="0.25">
      <c r="A8" s="603" t="s">
        <v>29</v>
      </c>
      <c r="B8" s="603">
        <v>10816</v>
      </c>
      <c r="C8" s="603">
        <v>10816</v>
      </c>
      <c r="D8" s="603"/>
      <c r="E8" s="605">
        <f t="shared" si="0"/>
        <v>0</v>
      </c>
      <c r="F8" s="610"/>
      <c r="H8" s="603" t="s">
        <v>29</v>
      </c>
      <c r="I8" s="603">
        <v>10816</v>
      </c>
    </row>
    <row r="9" spans="1:11" s="607" customFormat="1" ht="24" customHeight="1" x14ac:dyDescent="0.25">
      <c r="A9" s="603" t="s">
        <v>260</v>
      </c>
      <c r="B9" s="708">
        <v>50739</v>
      </c>
      <c r="C9" s="603"/>
      <c r="D9" s="603">
        <v>50739</v>
      </c>
      <c r="E9" s="605">
        <f t="shared" si="0"/>
        <v>0</v>
      </c>
      <c r="F9" s="611"/>
      <c r="H9" s="603" t="s">
        <v>260</v>
      </c>
      <c r="I9" s="708">
        <v>50739</v>
      </c>
    </row>
    <row r="10" spans="1:11" s="607" customFormat="1" ht="24" customHeight="1" x14ac:dyDescent="0.25">
      <c r="A10" s="603" t="s">
        <v>1627</v>
      </c>
      <c r="B10" s="603">
        <v>101240</v>
      </c>
      <c r="C10" s="603"/>
      <c r="D10" s="603">
        <v>101240</v>
      </c>
      <c r="E10" s="605">
        <f t="shared" si="0"/>
        <v>0</v>
      </c>
      <c r="F10" s="610"/>
      <c r="H10" s="603" t="s">
        <v>1627</v>
      </c>
      <c r="I10" s="603">
        <v>101240</v>
      </c>
    </row>
    <row r="11" spans="1:11" s="607" customFormat="1" ht="24" customHeight="1" x14ac:dyDescent="0.25">
      <c r="A11" s="721" t="s">
        <v>12</v>
      </c>
      <c r="B11" s="612">
        <f>SUM(B4:B10)</f>
        <v>1707146</v>
      </c>
      <c r="C11" s="612">
        <f>SUM(C4:C10)</f>
        <v>729265</v>
      </c>
      <c r="D11" s="612">
        <f>SUM(D4:D10)</f>
        <v>595027</v>
      </c>
      <c r="E11" s="613">
        <f>SUM(E4:E10)</f>
        <v>382854</v>
      </c>
      <c r="F11" s="614">
        <f>+C11+D11</f>
        <v>1324292</v>
      </c>
      <c r="H11" s="728" t="s">
        <v>12</v>
      </c>
      <c r="I11" s="612">
        <f>SUM(I4:I10)</f>
        <v>1707146</v>
      </c>
    </row>
    <row r="12" spans="1:11" s="607" customFormat="1" ht="24" customHeight="1" x14ac:dyDescent="0.25"/>
    <row r="13" spans="1:11" s="607" customFormat="1" ht="24" customHeight="1" x14ac:dyDescent="0.25">
      <c r="A13" s="615"/>
      <c r="B13" s="723"/>
      <c r="C13" s="617"/>
      <c r="D13" s="723"/>
      <c r="E13" s="618"/>
      <c r="F13" s="615"/>
      <c r="G13" s="723"/>
      <c r="H13" s="723"/>
      <c r="I13" s="723"/>
      <c r="J13" s="723"/>
      <c r="K13" s="618"/>
    </row>
    <row r="14" spans="1:11" s="607" customFormat="1" ht="24" customHeight="1" x14ac:dyDescent="0.25">
      <c r="A14" s="742" t="s">
        <v>476</v>
      </c>
      <c r="B14" s="742"/>
      <c r="C14" s="742"/>
      <c r="D14" s="742"/>
      <c r="E14" s="618"/>
      <c r="F14" s="743"/>
      <c r="G14" s="743"/>
      <c r="H14" s="743"/>
      <c r="I14" s="743"/>
      <c r="J14" s="723"/>
      <c r="K14" s="618"/>
    </row>
    <row r="15" spans="1:11" s="607" customFormat="1" ht="24" customHeight="1" x14ac:dyDescent="0.25">
      <c r="A15" s="455" t="s">
        <v>8</v>
      </c>
      <c r="B15" s="455" t="s">
        <v>498</v>
      </c>
      <c r="C15" s="456" t="s">
        <v>499</v>
      </c>
      <c r="D15" s="455"/>
      <c r="E15" s="619"/>
      <c r="F15" s="486"/>
      <c r="G15" s="486"/>
      <c r="H15" s="487"/>
      <c r="I15" s="486"/>
      <c r="J15" s="620"/>
      <c r="K15" s="619"/>
    </row>
    <row r="16" spans="1:11" s="607" customFormat="1" ht="24" customHeight="1" x14ac:dyDescent="0.25">
      <c r="A16" s="621" t="s">
        <v>671</v>
      </c>
      <c r="B16" s="621">
        <v>80000</v>
      </c>
      <c r="C16" s="622">
        <v>43028</v>
      </c>
      <c r="D16" s="719"/>
      <c r="E16" s="615"/>
      <c r="F16" s="6"/>
      <c r="G16" s="6"/>
      <c r="H16" s="488"/>
      <c r="I16" s="720"/>
      <c r="J16" s="626"/>
      <c r="K16" s="615"/>
    </row>
    <row r="17" spans="1:11" s="607" customFormat="1" ht="24" customHeight="1" x14ac:dyDescent="0.25">
      <c r="A17" s="689"/>
      <c r="B17" s="621"/>
      <c r="C17" s="622"/>
      <c r="D17" s="719"/>
      <c r="E17" s="615"/>
      <c r="F17" s="6"/>
      <c r="G17" s="6"/>
      <c r="H17" s="488"/>
      <c r="I17" s="720"/>
      <c r="J17" s="626"/>
      <c r="K17" s="615"/>
    </row>
    <row r="18" spans="1:11" s="607" customFormat="1" ht="24" customHeight="1" x14ac:dyDescent="0.25">
      <c r="A18" s="719" t="s">
        <v>12</v>
      </c>
      <c r="B18" s="719">
        <f>SUM(B16:B17)</f>
        <v>80000</v>
      </c>
      <c r="C18" s="627"/>
      <c r="D18" s="627"/>
      <c r="E18" s="615"/>
      <c r="F18" s="628"/>
      <c r="G18" s="628"/>
      <c r="H18" s="629"/>
      <c r="I18" s="723"/>
      <c r="J18" s="626"/>
      <c r="K18" s="615"/>
    </row>
    <row r="19" spans="1:11" s="607" customFormat="1" ht="24" customHeight="1" x14ac:dyDescent="0.25">
      <c r="A19" s="620"/>
      <c r="B19" s="723"/>
      <c r="C19" s="630"/>
      <c r="D19" s="630"/>
      <c r="E19" s="615"/>
      <c r="F19" s="615"/>
      <c r="G19" s="615"/>
      <c r="H19" s="615"/>
      <c r="I19" s="615"/>
      <c r="J19" s="615"/>
    </row>
    <row r="20" spans="1:11" s="607" customFormat="1" ht="24" customHeight="1" x14ac:dyDescent="0.25">
      <c r="A20" s="742" t="s">
        <v>477</v>
      </c>
      <c r="B20" s="742"/>
      <c r="C20" s="742"/>
      <c r="D20" s="742"/>
      <c r="E20" s="631"/>
      <c r="F20" s="743"/>
      <c r="G20" s="743"/>
      <c r="H20" s="743"/>
      <c r="I20" s="743"/>
      <c r="J20" s="615"/>
    </row>
    <row r="21" spans="1:11" s="607" customFormat="1" ht="24" customHeight="1" thickBot="1" x14ac:dyDescent="0.3">
      <c r="A21" s="455" t="s">
        <v>8</v>
      </c>
      <c r="B21" s="455" t="s">
        <v>498</v>
      </c>
      <c r="C21" s="456" t="s">
        <v>499</v>
      </c>
      <c r="D21" s="455"/>
      <c r="E21" s="631"/>
      <c r="F21" s="486"/>
      <c r="G21" s="486"/>
      <c r="H21" s="487"/>
      <c r="I21" s="486"/>
      <c r="J21" s="615"/>
    </row>
    <row r="22" spans="1:11" s="607" customFormat="1" ht="20.25" customHeight="1" x14ac:dyDescent="0.25">
      <c r="A22" s="818" t="s">
        <v>1797</v>
      </c>
      <c r="B22" s="819">
        <v>8000</v>
      </c>
      <c r="C22" s="820" t="s">
        <v>1808</v>
      </c>
      <c r="D22" s="719" t="s">
        <v>1317</v>
      </c>
      <c r="E22" s="615"/>
      <c r="F22" s="6"/>
      <c r="G22" s="6"/>
      <c r="H22" s="488"/>
      <c r="I22" s="720"/>
      <c r="J22" s="615"/>
    </row>
    <row r="23" spans="1:11" ht="20.25" customHeight="1" x14ac:dyDescent="0.25">
      <c r="A23" s="449" t="s">
        <v>1798</v>
      </c>
      <c r="B23" s="550">
        <v>20500</v>
      </c>
      <c r="C23" s="551" t="s">
        <v>1810</v>
      </c>
      <c r="D23" s="719"/>
      <c r="E23" s="3"/>
      <c r="F23" s="3"/>
      <c r="G23" s="3"/>
      <c r="H23" s="3"/>
      <c r="I23" s="3"/>
      <c r="J23" s="3"/>
    </row>
    <row r="24" spans="1:11" ht="20.25" customHeight="1" x14ac:dyDescent="0.25">
      <c r="A24" s="449" t="s">
        <v>1799</v>
      </c>
      <c r="B24" s="550">
        <v>7076</v>
      </c>
      <c r="C24" s="551" t="s">
        <v>1809</v>
      </c>
      <c r="D24" s="279"/>
    </row>
    <row r="25" spans="1:11" ht="20.25" customHeight="1" x14ac:dyDescent="0.25">
      <c r="A25" s="449" t="s">
        <v>1800</v>
      </c>
      <c r="B25" s="550">
        <v>10500</v>
      </c>
      <c r="C25" s="551" t="s">
        <v>1809</v>
      </c>
      <c r="D25" s="279"/>
    </row>
    <row r="26" spans="1:11" ht="19.5" customHeight="1" x14ac:dyDescent="0.25">
      <c r="A26" s="499" t="s">
        <v>1801</v>
      </c>
      <c r="B26" s="500">
        <v>18000</v>
      </c>
      <c r="C26" s="501" t="s">
        <v>1811</v>
      </c>
      <c r="D26" s="279"/>
    </row>
    <row r="27" spans="1:11" ht="19.5" customHeight="1" x14ac:dyDescent="0.25">
      <c r="A27" s="499" t="s">
        <v>1802</v>
      </c>
      <c r="B27" s="500">
        <f>4000*2</f>
        <v>8000</v>
      </c>
      <c r="C27" s="501" t="s">
        <v>1812</v>
      </c>
      <c r="D27" s="279"/>
    </row>
    <row r="28" spans="1:11" ht="19.5" customHeight="1" x14ac:dyDescent="0.25">
      <c r="A28" s="499" t="s">
        <v>1306</v>
      </c>
      <c r="B28" s="500">
        <f>6000*2</f>
        <v>12000</v>
      </c>
      <c r="C28" s="501" t="s">
        <v>1813</v>
      </c>
      <c r="D28" s="279"/>
    </row>
    <row r="29" spans="1:11" ht="19.5" customHeight="1" x14ac:dyDescent="0.25">
      <c r="A29" s="449" t="s">
        <v>1803</v>
      </c>
      <c r="B29" s="500">
        <v>47000</v>
      </c>
      <c r="C29" s="501" t="s">
        <v>1814</v>
      </c>
      <c r="D29" s="727" t="s">
        <v>1819</v>
      </c>
    </row>
    <row r="30" spans="1:11" ht="19.5" customHeight="1" x14ac:dyDescent="0.25">
      <c r="A30" s="449" t="s">
        <v>1804</v>
      </c>
      <c r="B30" s="500">
        <v>8778</v>
      </c>
      <c r="C30" s="501" t="s">
        <v>1815</v>
      </c>
      <c r="D30" s="279"/>
    </row>
    <row r="31" spans="1:11" ht="19.5" customHeight="1" x14ac:dyDescent="0.25">
      <c r="A31" s="449" t="s">
        <v>1805</v>
      </c>
      <c r="B31" s="500">
        <v>60000</v>
      </c>
      <c r="C31" s="501" t="s">
        <v>1816</v>
      </c>
      <c r="D31" s="279"/>
    </row>
    <row r="32" spans="1:11" ht="19.5" customHeight="1" x14ac:dyDescent="0.25">
      <c r="A32" s="449" t="s">
        <v>1806</v>
      </c>
      <c r="B32" s="500">
        <v>35000</v>
      </c>
      <c r="C32" s="501" t="s">
        <v>1816</v>
      </c>
      <c r="D32" s="727" t="s">
        <v>491</v>
      </c>
    </row>
    <row r="33" spans="1:4" ht="19.5" customHeight="1" x14ac:dyDescent="0.25">
      <c r="A33" s="449" t="s">
        <v>1807</v>
      </c>
      <c r="B33" s="500">
        <v>30000</v>
      </c>
      <c r="C33" s="501" t="s">
        <v>1816</v>
      </c>
      <c r="D33" s="727" t="s">
        <v>1821</v>
      </c>
    </row>
    <row r="34" spans="1:4" ht="19.5" customHeight="1" x14ac:dyDescent="0.25">
      <c r="A34" s="449" t="s">
        <v>1311</v>
      </c>
      <c r="B34" s="500">
        <v>20000</v>
      </c>
      <c r="C34" s="501" t="s">
        <v>1817</v>
      </c>
      <c r="D34" s="727" t="s">
        <v>1820</v>
      </c>
    </row>
    <row r="35" spans="1:4" ht="19.5" customHeight="1" x14ac:dyDescent="0.25">
      <c r="A35" s="449" t="s">
        <v>1308</v>
      </c>
      <c r="B35" s="500">
        <v>18000</v>
      </c>
      <c r="C35" s="501" t="s">
        <v>1818</v>
      </c>
      <c r="D35" s="279"/>
    </row>
    <row r="36" spans="1:4" ht="19.5" customHeight="1" x14ac:dyDescent="0.25">
      <c r="A36" s="449" t="s">
        <v>12</v>
      </c>
      <c r="B36" s="821">
        <f>SUM(B22:B35)</f>
        <v>302854</v>
      </c>
      <c r="C36" s="279"/>
      <c r="D36" s="279"/>
    </row>
  </sheetData>
  <mergeCells count="13">
    <mergeCell ref="A14:D14"/>
    <mergeCell ref="F14:I14"/>
    <mergeCell ref="A20:D20"/>
    <mergeCell ref="F20:I20"/>
    <mergeCell ref="A1:F1"/>
    <mergeCell ref="H1:I1"/>
    <mergeCell ref="A2:A3"/>
    <mergeCell ref="B2:B3"/>
    <mergeCell ref="C2:D2"/>
    <mergeCell ref="E2:E3"/>
    <mergeCell ref="F2:F3"/>
    <mergeCell ref="H2:H3"/>
    <mergeCell ref="I2:I3"/>
  </mergeCells>
  <pageMargins left="0.45" right="0.45" top="0.25" bottom="0" header="0.3" footer="0"/>
  <pageSetup paperSize="9" scale="7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opLeftCell="A21" zoomScaleNormal="100" workbookViewId="0">
      <selection activeCell="C30" sqref="C30"/>
    </sheetView>
  </sheetViews>
  <sheetFormatPr defaultRowHeight="15" x14ac:dyDescent="0.25"/>
  <cols>
    <col min="1" max="1" width="18.28515625" style="260" customWidth="1"/>
    <col min="2" max="2" width="18.140625" style="260" customWidth="1"/>
    <col min="3" max="3" width="12.140625" style="260" customWidth="1"/>
    <col min="4" max="4" width="16.7109375" style="260" customWidth="1"/>
    <col min="5" max="5" width="18" style="260" customWidth="1"/>
    <col min="6" max="6" width="27.42578125" style="260" customWidth="1"/>
    <col min="7" max="7" width="21.5703125" style="260" customWidth="1"/>
    <col min="8" max="9" width="14.5703125" style="260" customWidth="1"/>
    <col min="10" max="16384" width="9.140625" style="260"/>
  </cols>
  <sheetData>
    <row r="1" spans="1:11" ht="31.5" customHeight="1" x14ac:dyDescent="0.25">
      <c r="A1" s="744" t="s">
        <v>1054</v>
      </c>
      <c r="B1" s="744"/>
      <c r="C1" s="744"/>
      <c r="D1" s="744"/>
      <c r="E1" s="744"/>
      <c r="F1" s="744"/>
      <c r="H1" s="745" t="s">
        <v>1321</v>
      </c>
      <c r="I1" s="745"/>
    </row>
    <row r="2" spans="1:11" ht="19.5" customHeight="1" x14ac:dyDescent="0.25">
      <c r="A2" s="746" t="s">
        <v>7</v>
      </c>
      <c r="B2" s="746" t="s">
        <v>47</v>
      </c>
      <c r="C2" s="746" t="s">
        <v>199</v>
      </c>
      <c r="D2" s="746"/>
      <c r="E2" s="747" t="s">
        <v>32</v>
      </c>
      <c r="F2" s="746" t="s">
        <v>591</v>
      </c>
      <c r="G2" s="601"/>
      <c r="H2" s="749" t="s">
        <v>7</v>
      </c>
      <c r="I2" s="749" t="s">
        <v>47</v>
      </c>
    </row>
    <row r="3" spans="1:11" ht="19.5" customHeight="1" x14ac:dyDescent="0.25">
      <c r="A3" s="746"/>
      <c r="B3" s="746"/>
      <c r="C3" s="707" t="s">
        <v>5</v>
      </c>
      <c r="D3" s="707" t="s">
        <v>152</v>
      </c>
      <c r="E3" s="748"/>
      <c r="F3" s="746"/>
      <c r="G3" s="601"/>
      <c r="H3" s="750"/>
      <c r="I3" s="750"/>
    </row>
    <row r="4" spans="1:11" s="607" customFormat="1" ht="24" customHeight="1" x14ac:dyDescent="0.25">
      <c r="A4" s="603" t="s">
        <v>11</v>
      </c>
      <c r="B4" s="604">
        <v>1105589</v>
      </c>
      <c r="C4" s="604">
        <v>230665</v>
      </c>
      <c r="D4" s="604">
        <v>324450</v>
      </c>
      <c r="E4" s="605">
        <f>+B4-(C4+D4)</f>
        <v>550474</v>
      </c>
      <c r="F4" s="606"/>
      <c r="H4" s="603" t="s">
        <v>11</v>
      </c>
      <c r="I4" s="604">
        <v>1066989</v>
      </c>
    </row>
    <row r="5" spans="1:11" s="607" customFormat="1" ht="24" customHeight="1" x14ac:dyDescent="0.25">
      <c r="A5" s="603" t="s">
        <v>17</v>
      </c>
      <c r="B5" s="603">
        <v>405667</v>
      </c>
      <c r="C5" s="603">
        <v>124533</v>
      </c>
      <c r="D5" s="603">
        <v>281134</v>
      </c>
      <c r="E5" s="605">
        <f t="shared" ref="E5:E10" si="0">+B5-(C5+D5)</f>
        <v>0</v>
      </c>
      <c r="F5" s="608"/>
      <c r="H5" s="603" t="s">
        <v>17</v>
      </c>
      <c r="I5" s="603">
        <v>405667</v>
      </c>
    </row>
    <row r="6" spans="1:11" s="607" customFormat="1" ht="24" customHeight="1" x14ac:dyDescent="0.25">
      <c r="A6" s="603" t="s">
        <v>24</v>
      </c>
      <c r="B6" s="603">
        <v>52599</v>
      </c>
      <c r="C6" s="603">
        <v>47499</v>
      </c>
      <c r="D6" s="604">
        <v>5100</v>
      </c>
      <c r="E6" s="605">
        <f t="shared" si="0"/>
        <v>0</v>
      </c>
      <c r="F6" s="608"/>
      <c r="H6" s="603" t="s">
        <v>24</v>
      </c>
      <c r="I6" s="603">
        <v>52599</v>
      </c>
    </row>
    <row r="7" spans="1:11" s="607" customFormat="1" ht="24" customHeight="1" x14ac:dyDescent="0.25">
      <c r="A7" s="603" t="s">
        <v>42</v>
      </c>
      <c r="B7" s="603">
        <v>283403</v>
      </c>
      <c r="C7" s="603">
        <v>183403</v>
      </c>
      <c r="D7" s="603"/>
      <c r="E7" s="605">
        <f t="shared" si="0"/>
        <v>100000</v>
      </c>
      <c r="F7" s="609"/>
      <c r="H7" s="603" t="s">
        <v>42</v>
      </c>
      <c r="I7" s="603">
        <v>283403</v>
      </c>
    </row>
    <row r="8" spans="1:11" s="607" customFormat="1" ht="24" customHeight="1" x14ac:dyDescent="0.25">
      <c r="A8" s="603" t="s">
        <v>29</v>
      </c>
      <c r="B8" s="603">
        <v>4706</v>
      </c>
      <c r="C8" s="603">
        <v>4706</v>
      </c>
      <c r="D8" s="603"/>
      <c r="E8" s="605">
        <f t="shared" si="0"/>
        <v>0</v>
      </c>
      <c r="F8" s="610"/>
      <c r="H8" s="603" t="s">
        <v>29</v>
      </c>
      <c r="I8" s="603">
        <v>4706</v>
      </c>
    </row>
    <row r="9" spans="1:11" s="607" customFormat="1" ht="24" customHeight="1" x14ac:dyDescent="0.25">
      <c r="A9" s="603" t="s">
        <v>260</v>
      </c>
      <c r="B9" s="708">
        <v>35372</v>
      </c>
      <c r="C9" s="603"/>
      <c r="D9" s="603">
        <v>35372</v>
      </c>
      <c r="E9" s="605">
        <f t="shared" si="0"/>
        <v>0</v>
      </c>
      <c r="F9" s="611"/>
      <c r="H9" s="603" t="s">
        <v>260</v>
      </c>
      <c r="I9" s="708">
        <v>35372</v>
      </c>
    </row>
    <row r="10" spans="1:11" s="607" customFormat="1" ht="24" customHeight="1" x14ac:dyDescent="0.25">
      <c r="A10" s="603"/>
      <c r="B10" s="603"/>
      <c r="C10" s="603"/>
      <c r="D10" s="603"/>
      <c r="E10" s="605">
        <f t="shared" si="0"/>
        <v>0</v>
      </c>
      <c r="F10" s="610"/>
      <c r="H10" s="603"/>
      <c r="I10" s="603"/>
    </row>
    <row r="11" spans="1:11" s="607" customFormat="1" ht="24" customHeight="1" x14ac:dyDescent="0.25">
      <c r="A11" s="706" t="s">
        <v>12</v>
      </c>
      <c r="B11" s="612">
        <f>SUM(B4:B10)</f>
        <v>1887336</v>
      </c>
      <c r="C11" s="612">
        <f>SUM(C4:C10)</f>
        <v>590806</v>
      </c>
      <c r="D11" s="612">
        <f>SUM(D4:D10)</f>
        <v>646056</v>
      </c>
      <c r="E11" s="613">
        <f>SUM(E4:E10)</f>
        <v>650474</v>
      </c>
      <c r="F11" s="614">
        <f>+C11+D11</f>
        <v>1236862</v>
      </c>
      <c r="H11" s="710" t="s">
        <v>12</v>
      </c>
      <c r="I11" s="612">
        <f>SUM(I4:I10)</f>
        <v>1848736</v>
      </c>
    </row>
    <row r="12" spans="1:11" s="607" customFormat="1" ht="24" customHeight="1" x14ac:dyDescent="0.25"/>
    <row r="13" spans="1:11" s="607" customFormat="1" ht="24" customHeight="1" x14ac:dyDescent="0.25">
      <c r="A13" s="615"/>
      <c r="B13" s="705"/>
      <c r="C13" s="617"/>
      <c r="D13" s="705"/>
      <c r="E13" s="618"/>
      <c r="F13" s="615"/>
      <c r="G13" s="705"/>
      <c r="H13" s="705"/>
      <c r="I13" s="705"/>
      <c r="J13" s="705"/>
      <c r="K13" s="618"/>
    </row>
    <row r="14" spans="1:11" s="607" customFormat="1" ht="24" customHeight="1" x14ac:dyDescent="0.25">
      <c r="A14" s="742" t="s">
        <v>476</v>
      </c>
      <c r="B14" s="742"/>
      <c r="C14" s="742"/>
      <c r="D14" s="742"/>
      <c r="E14" s="618"/>
      <c r="F14" s="743"/>
      <c r="G14" s="743"/>
      <c r="H14" s="743"/>
      <c r="I14" s="743"/>
      <c r="J14" s="705"/>
      <c r="K14" s="618"/>
    </row>
    <row r="15" spans="1:11" s="607" customFormat="1" ht="24" customHeight="1" x14ac:dyDescent="0.25">
      <c r="A15" s="455" t="s">
        <v>8</v>
      </c>
      <c r="B15" s="455" t="s">
        <v>498</v>
      </c>
      <c r="C15" s="456" t="s">
        <v>499</v>
      </c>
      <c r="D15" s="455"/>
      <c r="E15" s="619"/>
      <c r="F15" s="486"/>
      <c r="G15" s="486"/>
      <c r="H15" s="487"/>
      <c r="I15" s="486"/>
      <c r="J15" s="620"/>
      <c r="K15" s="619"/>
    </row>
    <row r="16" spans="1:11" s="607" customFormat="1" ht="24" customHeight="1" x14ac:dyDescent="0.25">
      <c r="A16" s="621" t="s">
        <v>671</v>
      </c>
      <c r="B16" s="621">
        <v>100000</v>
      </c>
      <c r="C16" s="622">
        <v>42998</v>
      </c>
      <c r="D16" s="703"/>
      <c r="E16" s="615"/>
      <c r="F16" s="6"/>
      <c r="G16" s="6"/>
      <c r="H16" s="488"/>
      <c r="I16" s="704"/>
      <c r="J16" s="626"/>
      <c r="K16" s="615"/>
    </row>
    <row r="17" spans="1:11" s="607" customFormat="1" ht="24" customHeight="1" x14ac:dyDescent="0.25">
      <c r="A17" s="689"/>
      <c r="B17" s="621"/>
      <c r="C17" s="622"/>
      <c r="D17" s="703"/>
      <c r="E17" s="615"/>
      <c r="F17" s="6"/>
      <c r="G17" s="6"/>
      <c r="H17" s="488"/>
      <c r="I17" s="704"/>
      <c r="J17" s="626"/>
      <c r="K17" s="615"/>
    </row>
    <row r="18" spans="1:11" s="607" customFormat="1" ht="24" customHeight="1" x14ac:dyDescent="0.25">
      <c r="A18" s="703" t="s">
        <v>12</v>
      </c>
      <c r="B18" s="703">
        <f>SUM(B16:B17)</f>
        <v>100000</v>
      </c>
      <c r="C18" s="627"/>
      <c r="D18" s="627"/>
      <c r="E18" s="615"/>
      <c r="F18" s="628"/>
      <c r="G18" s="628"/>
      <c r="H18" s="629"/>
      <c r="I18" s="705"/>
      <c r="J18" s="626"/>
      <c r="K18" s="615"/>
    </row>
    <row r="19" spans="1:11" s="607" customFormat="1" ht="24" customHeight="1" x14ac:dyDescent="0.25">
      <c r="A19" s="620"/>
      <c r="B19" s="705"/>
      <c r="C19" s="630"/>
      <c r="D19" s="630"/>
      <c r="E19" s="615"/>
      <c r="F19" s="615"/>
      <c r="G19" s="615"/>
      <c r="H19" s="615"/>
      <c r="I19" s="615"/>
      <c r="J19" s="615"/>
    </row>
    <row r="20" spans="1:11" s="607" customFormat="1" ht="24" customHeight="1" x14ac:dyDescent="0.25">
      <c r="A20" s="742" t="s">
        <v>477</v>
      </c>
      <c r="B20" s="742"/>
      <c r="C20" s="742"/>
      <c r="D20" s="742"/>
      <c r="E20" s="631"/>
      <c r="F20" s="743"/>
      <c r="G20" s="743"/>
      <c r="H20" s="743"/>
      <c r="I20" s="743"/>
      <c r="J20" s="615"/>
    </row>
    <row r="21" spans="1:11" s="607" customFormat="1" ht="24" customHeight="1" x14ac:dyDescent="0.25">
      <c r="A21" s="455" t="s">
        <v>8</v>
      </c>
      <c r="B21" s="455" t="s">
        <v>498</v>
      </c>
      <c r="C21" s="456" t="s">
        <v>499</v>
      </c>
      <c r="D21" s="455"/>
      <c r="E21" s="631"/>
      <c r="F21" s="486"/>
      <c r="G21" s="486"/>
      <c r="H21" s="487"/>
      <c r="I21" s="486"/>
      <c r="J21" s="615"/>
    </row>
    <row r="22" spans="1:11" s="607" customFormat="1" ht="20.25" customHeight="1" x14ac:dyDescent="0.25">
      <c r="A22" s="712" t="s">
        <v>1302</v>
      </c>
      <c r="B22" s="548">
        <v>33000</v>
      </c>
      <c r="C22" s="713">
        <v>42989</v>
      </c>
      <c r="D22" s="709" t="s">
        <v>1317</v>
      </c>
      <c r="E22" s="615"/>
      <c r="F22" s="6"/>
      <c r="G22" s="6"/>
      <c r="H22" s="488"/>
      <c r="I22" s="704"/>
      <c r="J22" s="615"/>
    </row>
    <row r="23" spans="1:11" s="607" customFormat="1" ht="20.25" customHeight="1" x14ac:dyDescent="0.25">
      <c r="A23" s="545" t="s">
        <v>1303</v>
      </c>
      <c r="B23" s="548">
        <v>23000</v>
      </c>
      <c r="C23" s="713">
        <v>42995</v>
      </c>
      <c r="D23" s="709" t="s">
        <v>777</v>
      </c>
      <c r="E23" s="615"/>
      <c r="F23" s="6"/>
      <c r="G23" s="6"/>
      <c r="H23" s="488"/>
      <c r="I23" s="704"/>
      <c r="J23" s="615"/>
    </row>
    <row r="24" spans="1:11" s="607" customFormat="1" ht="20.25" customHeight="1" x14ac:dyDescent="0.25">
      <c r="A24" s="712" t="s">
        <v>1302</v>
      </c>
      <c r="B24" s="548">
        <v>67000</v>
      </c>
      <c r="C24" s="713">
        <v>42995</v>
      </c>
      <c r="D24" s="709" t="s">
        <v>1318</v>
      </c>
      <c r="E24" s="615"/>
      <c r="F24" s="6"/>
      <c r="G24" s="6"/>
      <c r="H24" s="488"/>
      <c r="I24" s="704"/>
      <c r="J24" s="615"/>
    </row>
    <row r="25" spans="1:11" s="607" customFormat="1" ht="20.25" customHeight="1" x14ac:dyDescent="0.25">
      <c r="A25" s="724" t="s">
        <v>1302</v>
      </c>
      <c r="B25" s="643">
        <v>25000</v>
      </c>
      <c r="C25" s="725">
        <v>42995</v>
      </c>
      <c r="D25" s="726"/>
      <c r="E25" s="615"/>
      <c r="F25" s="6"/>
      <c r="G25" s="6"/>
      <c r="H25" s="488"/>
      <c r="I25" s="718"/>
      <c r="J25" s="615"/>
    </row>
    <row r="26" spans="1:11" s="607" customFormat="1" ht="20.25" customHeight="1" x14ac:dyDescent="0.25">
      <c r="A26" s="724" t="s">
        <v>1425</v>
      </c>
      <c r="B26" s="643">
        <v>13600</v>
      </c>
      <c r="C26" s="725">
        <v>43003</v>
      </c>
      <c r="D26" s="726"/>
      <c r="E26" s="615"/>
      <c r="F26" s="6"/>
      <c r="G26" s="6"/>
      <c r="H26" s="488"/>
      <c r="I26" s="718"/>
      <c r="J26" s="615"/>
    </row>
    <row r="27" spans="1:11" ht="20.25" customHeight="1" x14ac:dyDescent="0.25">
      <c r="A27" s="499" t="s">
        <v>1304</v>
      </c>
      <c r="B27" s="500">
        <v>25000</v>
      </c>
      <c r="C27" s="501" t="s">
        <v>1314</v>
      </c>
      <c r="D27" s="709"/>
      <c r="E27" s="3"/>
      <c r="F27" s="3"/>
      <c r="G27" s="3"/>
      <c r="H27" s="3"/>
      <c r="I27" s="3"/>
      <c r="J27" s="3"/>
    </row>
    <row r="28" spans="1:11" ht="20.25" customHeight="1" x14ac:dyDescent="0.25">
      <c r="A28" s="499" t="s">
        <v>1305</v>
      </c>
      <c r="B28" s="500">
        <v>49000</v>
      </c>
      <c r="C28" s="501" t="s">
        <v>1313</v>
      </c>
      <c r="D28" s="279" t="s">
        <v>914</v>
      </c>
      <c r="E28" s="3"/>
      <c r="F28" s="3"/>
      <c r="G28" s="3"/>
      <c r="H28" s="3"/>
      <c r="I28" s="3"/>
      <c r="J28" s="3"/>
    </row>
    <row r="29" spans="1:11" ht="20.25" customHeight="1" x14ac:dyDescent="0.25">
      <c r="A29" s="499" t="s">
        <v>1306</v>
      </c>
      <c r="B29" s="500">
        <f>11015*2</f>
        <v>22030</v>
      </c>
      <c r="C29" s="501" t="s">
        <v>1315</v>
      </c>
      <c r="D29" s="279"/>
    </row>
    <row r="30" spans="1:11" ht="20.25" customHeight="1" x14ac:dyDescent="0.25">
      <c r="A30" s="499" t="s">
        <v>1307</v>
      </c>
      <c r="B30" s="500">
        <f>17672*2</f>
        <v>35344</v>
      </c>
      <c r="C30" s="501" t="s">
        <v>1315</v>
      </c>
      <c r="D30" s="279"/>
    </row>
    <row r="31" spans="1:11" ht="20.25" customHeight="1" x14ac:dyDescent="0.25">
      <c r="A31" s="499" t="s">
        <v>804</v>
      </c>
      <c r="B31" s="500">
        <f>5000*2</f>
        <v>10000</v>
      </c>
      <c r="C31" s="501" t="s">
        <v>1316</v>
      </c>
      <c r="D31" s="279"/>
    </row>
    <row r="32" spans="1:11" ht="20.25" customHeight="1" x14ac:dyDescent="0.25">
      <c r="A32" s="499" t="s">
        <v>1306</v>
      </c>
      <c r="B32" s="500">
        <f>5500*2</f>
        <v>11000</v>
      </c>
      <c r="C32" s="501" t="s">
        <v>1316</v>
      </c>
      <c r="D32" s="279"/>
    </row>
    <row r="33" spans="1:4" ht="20.25" customHeight="1" x14ac:dyDescent="0.25">
      <c r="A33" s="499" t="s">
        <v>759</v>
      </c>
      <c r="B33" s="500">
        <v>3500</v>
      </c>
      <c r="C33" s="501">
        <v>42993</v>
      </c>
      <c r="D33" s="279" t="s">
        <v>1341</v>
      </c>
    </row>
    <row r="34" spans="1:4" ht="20.25" customHeight="1" x14ac:dyDescent="0.25">
      <c r="A34" s="499" t="s">
        <v>759</v>
      </c>
      <c r="B34" s="500">
        <v>8000</v>
      </c>
      <c r="C34" s="501">
        <v>42998</v>
      </c>
      <c r="D34" s="279" t="s">
        <v>914</v>
      </c>
    </row>
    <row r="35" spans="1:4" ht="20.25" customHeight="1" x14ac:dyDescent="0.25">
      <c r="A35" s="499" t="s">
        <v>1308</v>
      </c>
      <c r="B35" s="500">
        <v>57000</v>
      </c>
      <c r="C35" s="501">
        <v>43002</v>
      </c>
      <c r="D35" s="279"/>
    </row>
    <row r="36" spans="1:4" ht="20.25" customHeight="1" x14ac:dyDescent="0.25">
      <c r="A36" s="499" t="s">
        <v>1309</v>
      </c>
      <c r="B36" s="500">
        <v>10000</v>
      </c>
      <c r="C36" s="501">
        <v>43005</v>
      </c>
      <c r="D36" s="709" t="s">
        <v>1404</v>
      </c>
    </row>
    <row r="37" spans="1:4" ht="20.25" customHeight="1" x14ac:dyDescent="0.25">
      <c r="A37" s="499" t="s">
        <v>709</v>
      </c>
      <c r="B37" s="500">
        <v>8000</v>
      </c>
      <c r="C37" s="501">
        <v>43003</v>
      </c>
      <c r="D37" s="279"/>
    </row>
    <row r="38" spans="1:4" ht="20.25" customHeight="1" x14ac:dyDescent="0.25">
      <c r="A38" s="499" t="s">
        <v>709</v>
      </c>
      <c r="B38" s="500">
        <v>15000</v>
      </c>
      <c r="C38" s="501">
        <v>43004</v>
      </c>
      <c r="D38" s="709" t="s">
        <v>1319</v>
      </c>
    </row>
    <row r="39" spans="1:4" ht="20.25" customHeight="1" x14ac:dyDescent="0.25">
      <c r="A39" s="499" t="s">
        <v>759</v>
      </c>
      <c r="B39" s="500">
        <v>3500</v>
      </c>
      <c r="C39" s="501">
        <v>43005</v>
      </c>
      <c r="D39" s="279"/>
    </row>
    <row r="40" spans="1:4" ht="20.25" customHeight="1" x14ac:dyDescent="0.25">
      <c r="A40" s="499" t="s">
        <v>759</v>
      </c>
      <c r="B40" s="500">
        <v>3500</v>
      </c>
      <c r="C40" s="501">
        <v>43005</v>
      </c>
      <c r="D40" s="279"/>
    </row>
    <row r="41" spans="1:4" ht="20.25" customHeight="1" x14ac:dyDescent="0.25">
      <c r="A41" s="499" t="s">
        <v>1310</v>
      </c>
      <c r="B41" s="500">
        <v>65000</v>
      </c>
      <c r="C41" s="501">
        <v>43004</v>
      </c>
      <c r="D41" s="709" t="s">
        <v>512</v>
      </c>
    </row>
    <row r="42" spans="1:4" ht="20.25" customHeight="1" x14ac:dyDescent="0.25">
      <c r="A42" s="499" t="s">
        <v>1311</v>
      </c>
      <c r="B42" s="500">
        <v>33000</v>
      </c>
      <c r="C42" s="501">
        <v>43003</v>
      </c>
      <c r="D42" s="709" t="s">
        <v>1320</v>
      </c>
    </row>
    <row r="43" spans="1:4" ht="20.25" customHeight="1" x14ac:dyDescent="0.25">
      <c r="A43" s="499" t="s">
        <v>1312</v>
      </c>
      <c r="B43" s="500">
        <v>30000</v>
      </c>
      <c r="C43" s="501">
        <v>43006</v>
      </c>
      <c r="D43" s="279"/>
    </row>
    <row r="44" spans="1:4" ht="20.25" customHeight="1" x14ac:dyDescent="0.25">
      <c r="A44" s="645" t="s">
        <v>12</v>
      </c>
      <c r="B44" s="714">
        <f>SUM(B22:B43)</f>
        <v>550474</v>
      </c>
      <c r="C44" s="279"/>
      <c r="D44" s="279"/>
    </row>
  </sheetData>
  <mergeCells count="13">
    <mergeCell ref="A14:D14"/>
    <mergeCell ref="F14:I14"/>
    <mergeCell ref="A20:D20"/>
    <mergeCell ref="F20:I20"/>
    <mergeCell ref="A1:F1"/>
    <mergeCell ref="H1:I1"/>
    <mergeCell ref="A2:A3"/>
    <mergeCell ref="B2:B3"/>
    <mergeCell ref="C2:D2"/>
    <mergeCell ref="E2:E3"/>
    <mergeCell ref="F2:F3"/>
    <mergeCell ref="H2:H3"/>
    <mergeCell ref="I2:I3"/>
  </mergeCells>
  <pageMargins left="0.45" right="0.45" top="0.25" bottom="0" header="0.3" footer="0"/>
  <pageSetup paperSize="9" scale="7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zoomScaleNormal="100" workbookViewId="0">
      <selection sqref="A1:F1"/>
    </sheetView>
  </sheetViews>
  <sheetFormatPr defaultRowHeight="15" x14ac:dyDescent="0.25"/>
  <cols>
    <col min="1" max="1" width="18.28515625" style="260" customWidth="1"/>
    <col min="2" max="2" width="16" style="260" customWidth="1"/>
    <col min="3" max="3" width="12.140625" style="260" customWidth="1"/>
    <col min="4" max="4" width="16.7109375" style="260" customWidth="1"/>
    <col min="5" max="5" width="18" style="260" customWidth="1"/>
    <col min="6" max="6" width="27.42578125" style="260" customWidth="1"/>
    <col min="7" max="7" width="21.5703125" style="260" customWidth="1"/>
    <col min="8" max="9" width="14.5703125" style="260" customWidth="1"/>
    <col min="10" max="16384" width="9.140625" style="260"/>
  </cols>
  <sheetData>
    <row r="1" spans="1:11" ht="31.5" customHeight="1" x14ac:dyDescent="0.25">
      <c r="A1" s="744" t="s">
        <v>927</v>
      </c>
      <c r="B1" s="744"/>
      <c r="C1" s="744"/>
      <c r="D1" s="744"/>
      <c r="E1" s="744"/>
      <c r="F1" s="744"/>
      <c r="H1" s="745" t="s">
        <v>928</v>
      </c>
      <c r="I1" s="745"/>
    </row>
    <row r="2" spans="1:11" ht="19.5" customHeight="1" x14ac:dyDescent="0.25">
      <c r="A2" s="746" t="s">
        <v>7</v>
      </c>
      <c r="B2" s="746" t="s">
        <v>47</v>
      </c>
      <c r="C2" s="746" t="s">
        <v>199</v>
      </c>
      <c r="D2" s="746"/>
      <c r="E2" s="747" t="s">
        <v>32</v>
      </c>
      <c r="F2" s="746" t="s">
        <v>591</v>
      </c>
      <c r="G2" s="601"/>
      <c r="H2" s="749" t="s">
        <v>7</v>
      </c>
      <c r="I2" s="749" t="s">
        <v>47</v>
      </c>
    </row>
    <row r="3" spans="1:11" ht="19.5" customHeight="1" x14ac:dyDescent="0.25">
      <c r="A3" s="746"/>
      <c r="B3" s="746"/>
      <c r="C3" s="696" t="s">
        <v>5</v>
      </c>
      <c r="D3" s="696" t="s">
        <v>152</v>
      </c>
      <c r="E3" s="748"/>
      <c r="F3" s="746"/>
      <c r="G3" s="601"/>
      <c r="H3" s="750"/>
      <c r="I3" s="750"/>
    </row>
    <row r="4" spans="1:11" s="607" customFormat="1" ht="24" customHeight="1" x14ac:dyDescent="0.25">
      <c r="A4" s="603" t="s">
        <v>11</v>
      </c>
      <c r="B4" s="604">
        <v>234005</v>
      </c>
      <c r="C4" s="604">
        <v>45500</v>
      </c>
      <c r="D4" s="604">
        <v>188505</v>
      </c>
      <c r="E4" s="605">
        <f>+B4-(C4+D4)</f>
        <v>0</v>
      </c>
      <c r="F4" s="606"/>
      <c r="H4" s="603" t="s">
        <v>11</v>
      </c>
      <c r="I4" s="604">
        <v>234005</v>
      </c>
    </row>
    <row r="5" spans="1:11" s="607" customFormat="1" ht="24" customHeight="1" x14ac:dyDescent="0.25">
      <c r="A5" s="603" t="s">
        <v>17</v>
      </c>
      <c r="B5" s="603">
        <v>164137</v>
      </c>
      <c r="C5" s="603">
        <v>44356</v>
      </c>
      <c r="D5" s="603">
        <v>119781</v>
      </c>
      <c r="E5" s="605">
        <f t="shared" ref="E5:E10" si="0">+B5-(C5+D5)</f>
        <v>0</v>
      </c>
      <c r="F5" s="608"/>
      <c r="H5" s="603" t="s">
        <v>17</v>
      </c>
      <c r="I5" s="603">
        <v>164137</v>
      </c>
    </row>
    <row r="6" spans="1:11" s="607" customFormat="1" ht="24" customHeight="1" x14ac:dyDescent="0.25">
      <c r="A6" s="603" t="s">
        <v>24</v>
      </c>
      <c r="B6" s="603">
        <v>193240</v>
      </c>
      <c r="C6" s="603">
        <v>193240</v>
      </c>
      <c r="D6" s="604"/>
      <c r="E6" s="605">
        <f t="shared" si="0"/>
        <v>0</v>
      </c>
      <c r="F6" s="608"/>
      <c r="H6" s="603" t="s">
        <v>24</v>
      </c>
      <c r="I6" s="603">
        <v>193240</v>
      </c>
    </row>
    <row r="7" spans="1:11" s="607" customFormat="1" ht="24" customHeight="1" x14ac:dyDescent="0.25">
      <c r="A7" s="603" t="s">
        <v>42</v>
      </c>
      <c r="B7" s="603">
        <v>540000</v>
      </c>
      <c r="C7" s="603">
        <v>330000</v>
      </c>
      <c r="D7" s="603">
        <v>110000</v>
      </c>
      <c r="E7" s="605">
        <f t="shared" si="0"/>
        <v>100000</v>
      </c>
      <c r="F7" s="609"/>
      <c r="H7" s="603" t="s">
        <v>42</v>
      </c>
      <c r="I7" s="603">
        <v>540000</v>
      </c>
    </row>
    <row r="8" spans="1:11" s="607" customFormat="1" ht="24" customHeight="1" x14ac:dyDescent="0.25">
      <c r="A8" s="603" t="s">
        <v>29</v>
      </c>
      <c r="B8" s="603">
        <v>46367</v>
      </c>
      <c r="C8" s="603">
        <v>46367</v>
      </c>
      <c r="D8" s="603"/>
      <c r="E8" s="605">
        <f t="shared" si="0"/>
        <v>0</v>
      </c>
      <c r="F8" s="610"/>
      <c r="H8" s="603" t="s">
        <v>29</v>
      </c>
      <c r="I8" s="603">
        <v>46367</v>
      </c>
    </row>
    <row r="9" spans="1:11" s="607" customFormat="1" ht="24" customHeight="1" x14ac:dyDescent="0.25">
      <c r="A9" s="603" t="s">
        <v>260</v>
      </c>
      <c r="B9" s="603">
        <v>30405</v>
      </c>
      <c r="C9" s="603"/>
      <c r="D9" s="603">
        <v>30405</v>
      </c>
      <c r="E9" s="605">
        <f t="shared" si="0"/>
        <v>0</v>
      </c>
      <c r="F9" s="611"/>
      <c r="H9" s="603" t="s">
        <v>260</v>
      </c>
      <c r="I9" s="603">
        <v>30405</v>
      </c>
    </row>
    <row r="10" spans="1:11" s="607" customFormat="1" ht="24" customHeight="1" x14ac:dyDescent="0.25">
      <c r="A10" s="603"/>
      <c r="B10" s="603"/>
      <c r="C10" s="603"/>
      <c r="D10" s="603"/>
      <c r="E10" s="605">
        <f t="shared" si="0"/>
        <v>0</v>
      </c>
      <c r="F10" s="610"/>
      <c r="H10" s="603"/>
      <c r="I10" s="603"/>
    </row>
    <row r="11" spans="1:11" s="607" customFormat="1" ht="24" customHeight="1" x14ac:dyDescent="0.25">
      <c r="A11" s="695" t="s">
        <v>12</v>
      </c>
      <c r="B11" s="612">
        <f>SUM(B4:B10)</f>
        <v>1208154</v>
      </c>
      <c r="C11" s="612">
        <f>SUM(C4:C10)</f>
        <v>659463</v>
      </c>
      <c r="D11" s="612">
        <f>SUM(D4:D10)</f>
        <v>448691</v>
      </c>
      <c r="E11" s="613">
        <f>SUM(E4:E10)</f>
        <v>100000</v>
      </c>
      <c r="F11" s="614">
        <f>+C11+D11</f>
        <v>1108154</v>
      </c>
      <c r="H11" s="698" t="s">
        <v>12</v>
      </c>
      <c r="I11" s="612">
        <f>SUM(I4:I10)</f>
        <v>1208154</v>
      </c>
    </row>
    <row r="12" spans="1:11" s="607" customFormat="1" ht="24" customHeight="1" x14ac:dyDescent="0.25"/>
    <row r="13" spans="1:11" s="607" customFormat="1" ht="24" customHeight="1" x14ac:dyDescent="0.25">
      <c r="A13" s="615"/>
      <c r="B13" s="693"/>
      <c r="C13" s="617"/>
      <c r="D13" s="693"/>
      <c r="E13" s="618"/>
      <c r="F13" s="615"/>
      <c r="G13" s="693"/>
      <c r="H13" s="693"/>
      <c r="I13" s="693"/>
      <c r="J13" s="693"/>
      <c r="K13" s="618"/>
    </row>
    <row r="14" spans="1:11" s="607" customFormat="1" ht="24" customHeight="1" x14ac:dyDescent="0.25">
      <c r="A14" s="742" t="s">
        <v>476</v>
      </c>
      <c r="B14" s="742"/>
      <c r="C14" s="742"/>
      <c r="D14" s="742"/>
      <c r="E14" s="618"/>
      <c r="F14" s="743"/>
      <c r="G14" s="743"/>
      <c r="H14" s="743"/>
      <c r="I14" s="743"/>
      <c r="J14" s="693"/>
      <c r="K14" s="618"/>
    </row>
    <row r="15" spans="1:11" s="607" customFormat="1" ht="24" customHeight="1" x14ac:dyDescent="0.25">
      <c r="A15" s="455" t="s">
        <v>8</v>
      </c>
      <c r="B15" s="455" t="s">
        <v>498</v>
      </c>
      <c r="C15" s="456" t="s">
        <v>499</v>
      </c>
      <c r="D15" s="455"/>
      <c r="E15" s="619"/>
      <c r="F15" s="486"/>
      <c r="G15" s="486"/>
      <c r="H15" s="487"/>
      <c r="I15" s="486"/>
      <c r="J15" s="620"/>
      <c r="K15" s="619"/>
    </row>
    <row r="16" spans="1:11" s="607" customFormat="1" ht="24" customHeight="1" x14ac:dyDescent="0.25">
      <c r="A16" s="621" t="s">
        <v>671</v>
      </c>
      <c r="B16" s="621">
        <v>100000</v>
      </c>
      <c r="C16" s="622">
        <v>42957</v>
      </c>
      <c r="D16" s="699" t="s">
        <v>666</v>
      </c>
      <c r="E16" s="615"/>
      <c r="F16" s="6"/>
      <c r="G16" s="6"/>
      <c r="H16" s="488"/>
      <c r="I16" s="694"/>
      <c r="J16" s="626"/>
      <c r="K16" s="615"/>
    </row>
    <row r="17" spans="1:11" s="607" customFormat="1" ht="24" customHeight="1" x14ac:dyDescent="0.25">
      <c r="A17" s="689"/>
      <c r="B17" s="621"/>
      <c r="C17" s="622"/>
      <c r="D17" s="699"/>
      <c r="E17" s="615"/>
      <c r="F17" s="6"/>
      <c r="G17" s="6"/>
      <c r="H17" s="488"/>
      <c r="I17" s="694"/>
      <c r="J17" s="626"/>
      <c r="K17" s="615"/>
    </row>
    <row r="18" spans="1:11" s="607" customFormat="1" ht="24" customHeight="1" x14ac:dyDescent="0.25">
      <c r="A18" s="621"/>
      <c r="B18" s="621"/>
      <c r="C18" s="622"/>
      <c r="D18" s="699"/>
      <c r="E18" s="615"/>
      <c r="F18" s="6"/>
      <c r="G18" s="6"/>
      <c r="H18" s="488"/>
      <c r="I18" s="694"/>
      <c r="J18" s="626"/>
      <c r="K18" s="615"/>
    </row>
    <row r="19" spans="1:11" s="607" customFormat="1" ht="24" customHeight="1" x14ac:dyDescent="0.25">
      <c r="A19" s="699" t="s">
        <v>12</v>
      </c>
      <c r="B19" s="699">
        <f>SUM(B16:B18)</f>
        <v>100000</v>
      </c>
      <c r="C19" s="627"/>
      <c r="D19" s="627"/>
      <c r="E19" s="615"/>
      <c r="F19" s="628"/>
      <c r="G19" s="628"/>
      <c r="H19" s="629"/>
      <c r="I19" s="693"/>
      <c r="J19" s="626"/>
      <c r="K19" s="615"/>
    </row>
    <row r="20" spans="1:11" s="607" customFormat="1" ht="24" customHeight="1" x14ac:dyDescent="0.25">
      <c r="A20" s="620"/>
      <c r="B20" s="693"/>
      <c r="C20" s="630"/>
      <c r="D20" s="630"/>
      <c r="E20" s="615"/>
      <c r="F20" s="615"/>
      <c r="G20" s="615"/>
      <c r="H20" s="615"/>
      <c r="I20" s="615"/>
      <c r="J20" s="615"/>
    </row>
    <row r="21" spans="1:11" s="607" customFormat="1" ht="24" customHeight="1" x14ac:dyDescent="0.25">
      <c r="A21" s="751"/>
      <c r="B21" s="751"/>
      <c r="C21" s="751"/>
      <c r="D21" s="751"/>
      <c r="E21" s="631"/>
      <c r="F21" s="743"/>
      <c r="G21" s="743"/>
      <c r="H21" s="743"/>
      <c r="I21" s="743"/>
      <c r="J21" s="615"/>
    </row>
    <row r="22" spans="1:11" s="607" customFormat="1" ht="24" customHeight="1" x14ac:dyDescent="0.25">
      <c r="A22" s="486"/>
      <c r="B22" s="486"/>
      <c r="C22" s="487"/>
      <c r="D22" s="486"/>
      <c r="E22" s="631"/>
      <c r="F22" s="486"/>
      <c r="G22" s="486"/>
      <c r="H22" s="487"/>
      <c r="I22" s="486"/>
      <c r="J22" s="615"/>
    </row>
    <row r="23" spans="1:11" s="607" customFormat="1" ht="24" customHeight="1" x14ac:dyDescent="0.25">
      <c r="A23" s="679"/>
      <c r="B23" s="680"/>
      <c r="C23" s="681"/>
      <c r="D23" s="693"/>
      <c r="E23" s="631"/>
      <c r="F23" s="6"/>
      <c r="G23" s="6"/>
      <c r="H23" s="488"/>
      <c r="I23" s="694"/>
      <c r="J23" s="615"/>
    </row>
    <row r="24" spans="1:11" s="607" customFormat="1" ht="24" customHeight="1" x14ac:dyDescent="0.25">
      <c r="A24" s="679"/>
      <c r="B24" s="680"/>
      <c r="C24" s="681"/>
      <c r="D24" s="693"/>
      <c r="E24" s="615"/>
      <c r="F24" s="6"/>
      <c r="G24" s="6"/>
      <c r="H24" s="488"/>
      <c r="I24" s="694"/>
      <c r="J24" s="615"/>
    </row>
    <row r="25" spans="1:11" s="607" customFormat="1" ht="24" customHeight="1" x14ac:dyDescent="0.25">
      <c r="A25" s="679"/>
      <c r="B25" s="680"/>
      <c r="C25" s="681"/>
      <c r="D25" s="615"/>
      <c r="E25" s="615"/>
      <c r="F25" s="6"/>
      <c r="G25" s="6"/>
      <c r="H25" s="488"/>
      <c r="I25" s="694"/>
      <c r="J25" s="615"/>
    </row>
    <row r="26" spans="1:11" s="607" customFormat="1" ht="24" customHeight="1" x14ac:dyDescent="0.25">
      <c r="A26" s="679"/>
      <c r="B26" s="680"/>
      <c r="C26" s="681"/>
      <c r="D26" s="615"/>
      <c r="E26" s="615"/>
      <c r="F26" s="6"/>
      <c r="G26" s="6"/>
      <c r="H26" s="488"/>
      <c r="I26" s="694"/>
      <c r="J26" s="615"/>
    </row>
    <row r="27" spans="1:11" s="607" customFormat="1" ht="24" customHeight="1" x14ac:dyDescent="0.25">
      <c r="A27" s="679"/>
      <c r="B27" s="680"/>
      <c r="C27" s="681"/>
      <c r="D27" s="615"/>
      <c r="E27" s="615"/>
      <c r="F27" s="6"/>
      <c r="G27" s="6"/>
      <c r="H27" s="488"/>
      <c r="I27" s="694"/>
      <c r="J27" s="615"/>
    </row>
    <row r="28" spans="1:11" s="607" customFormat="1" ht="24" customHeight="1" x14ac:dyDescent="0.25">
      <c r="A28" s="679"/>
      <c r="B28" s="680"/>
      <c r="C28" s="681"/>
      <c r="D28" s="615"/>
      <c r="E28" s="615"/>
      <c r="F28" s="6"/>
      <c r="G28" s="6"/>
      <c r="H28" s="488"/>
      <c r="I28" s="694"/>
      <c r="J28" s="615"/>
    </row>
    <row r="29" spans="1:11" s="607" customFormat="1" ht="24" customHeight="1" x14ac:dyDescent="0.25">
      <c r="A29" s="679"/>
      <c r="B29" s="680"/>
      <c r="C29" s="681"/>
      <c r="D29" s="615"/>
      <c r="E29" s="615"/>
      <c r="F29" s="615"/>
      <c r="G29" s="615"/>
      <c r="H29" s="615"/>
      <c r="I29" s="615"/>
      <c r="J29" s="615"/>
    </row>
    <row r="30" spans="1:11" ht="22.5" customHeight="1" x14ac:dyDescent="0.25">
      <c r="A30" s="682"/>
      <c r="B30" s="683"/>
      <c r="C30" s="684"/>
      <c r="D30" s="3"/>
      <c r="E30" s="3"/>
      <c r="F30" s="3"/>
      <c r="G30" s="3"/>
      <c r="H30" s="3"/>
      <c r="I30" s="3"/>
      <c r="J30" s="3"/>
    </row>
    <row r="31" spans="1:11" ht="22.5" customHeight="1" x14ac:dyDescent="0.25">
      <c r="A31" s="682"/>
      <c r="B31" s="683"/>
      <c r="C31" s="684"/>
      <c r="D31" s="3"/>
      <c r="E31" s="3"/>
      <c r="F31" s="3"/>
      <c r="G31" s="3"/>
      <c r="H31" s="3"/>
      <c r="I31" s="3"/>
      <c r="J31" s="3"/>
    </row>
    <row r="32" spans="1:11" ht="22.5" customHeight="1" x14ac:dyDescent="0.25">
      <c r="A32" s="682"/>
      <c r="B32" s="683"/>
      <c r="C32" s="684"/>
      <c r="D32" s="3"/>
      <c r="E32" s="3"/>
      <c r="F32" s="3"/>
      <c r="G32" s="3"/>
      <c r="H32" s="3"/>
      <c r="I32" s="3"/>
      <c r="J32" s="3"/>
    </row>
    <row r="33" spans="1:10" ht="22.5" customHeight="1" x14ac:dyDescent="0.25">
      <c r="A33" s="679"/>
      <c r="B33" s="680"/>
      <c r="C33" s="681"/>
      <c r="D33" s="3"/>
      <c r="E33" s="3"/>
      <c r="F33" s="3"/>
      <c r="G33" s="3"/>
      <c r="H33" s="3"/>
      <c r="I33" s="3"/>
      <c r="J33" s="3"/>
    </row>
    <row r="34" spans="1:10" ht="22.5" customHeight="1" x14ac:dyDescent="0.25">
      <c r="A34" s="679"/>
      <c r="B34" s="680"/>
      <c r="C34" s="681"/>
      <c r="D34" s="693"/>
      <c r="E34" s="3"/>
      <c r="F34" s="3"/>
      <c r="G34" s="3"/>
      <c r="H34" s="3"/>
      <c r="I34" s="3"/>
      <c r="J34" s="3"/>
    </row>
    <row r="35" spans="1:10" ht="22.5" customHeight="1" x14ac:dyDescent="0.25">
      <c r="A35" s="679"/>
      <c r="B35" s="680"/>
      <c r="C35" s="681"/>
      <c r="D35" s="693"/>
      <c r="E35" s="3"/>
      <c r="F35" s="3"/>
      <c r="G35" s="3"/>
      <c r="H35" s="3"/>
      <c r="I35" s="3"/>
      <c r="J35" s="3"/>
    </row>
    <row r="36" spans="1:10" ht="22.5" customHeight="1" x14ac:dyDescent="0.25">
      <c r="A36" s="679"/>
      <c r="B36" s="680"/>
      <c r="C36" s="681"/>
      <c r="D36" s="3"/>
      <c r="E36" s="3"/>
      <c r="F36" s="3"/>
      <c r="G36" s="3"/>
      <c r="H36" s="3"/>
      <c r="I36" s="3"/>
      <c r="J36" s="3"/>
    </row>
    <row r="37" spans="1:10" ht="22.5" customHeight="1" x14ac:dyDescent="0.25">
      <c r="A37" s="679"/>
      <c r="B37" s="680"/>
      <c r="C37" s="681"/>
      <c r="D37" s="3"/>
      <c r="E37" s="3"/>
      <c r="F37" s="3"/>
      <c r="G37" s="3"/>
      <c r="H37" s="3"/>
      <c r="I37" s="3"/>
      <c r="J37" s="3"/>
    </row>
    <row r="38" spans="1:10" ht="22.5" customHeight="1" x14ac:dyDescent="0.25">
      <c r="A38" s="679"/>
      <c r="B38" s="680"/>
      <c r="C38" s="681"/>
      <c r="D38" s="3"/>
      <c r="E38" s="3"/>
      <c r="F38" s="3"/>
      <c r="G38" s="3"/>
      <c r="H38" s="3"/>
      <c r="I38" s="3"/>
      <c r="J38" s="3"/>
    </row>
    <row r="39" spans="1:10" ht="22.5" customHeight="1" x14ac:dyDescent="0.25">
      <c r="A39" s="679"/>
      <c r="B39" s="680"/>
      <c r="C39" s="681"/>
      <c r="D39" s="3"/>
      <c r="E39" s="3"/>
      <c r="F39" s="3"/>
      <c r="G39" s="3"/>
      <c r="H39" s="3"/>
      <c r="I39" s="3"/>
      <c r="J39" s="3"/>
    </row>
    <row r="40" spans="1:10" ht="22.5" customHeight="1" x14ac:dyDescent="0.25">
      <c r="A40" s="679"/>
      <c r="B40" s="680"/>
      <c r="C40" s="681"/>
      <c r="D40" s="3"/>
      <c r="E40" s="3"/>
      <c r="F40" s="3"/>
      <c r="G40" s="3"/>
      <c r="H40" s="3"/>
      <c r="I40" s="3"/>
      <c r="J40" s="3"/>
    </row>
    <row r="41" spans="1:10" ht="22.5" customHeight="1" x14ac:dyDescent="0.25">
      <c r="A41" s="679"/>
      <c r="B41" s="685"/>
      <c r="C41" s="3"/>
      <c r="D41" s="3"/>
      <c r="E41" s="3"/>
      <c r="F41" s="3"/>
      <c r="G41" s="3"/>
      <c r="H41" s="3"/>
      <c r="I41" s="3"/>
      <c r="J41" s="3"/>
    </row>
  </sheetData>
  <mergeCells count="13">
    <mergeCell ref="A14:D14"/>
    <mergeCell ref="F14:I14"/>
    <mergeCell ref="A21:D21"/>
    <mergeCell ref="F21:I21"/>
    <mergeCell ref="A1:F1"/>
    <mergeCell ref="H1:I1"/>
    <mergeCell ref="A2:A3"/>
    <mergeCell ref="B2:B3"/>
    <mergeCell ref="C2:D2"/>
    <mergeCell ref="E2:E3"/>
    <mergeCell ref="F2:F3"/>
    <mergeCell ref="H2:H3"/>
    <mergeCell ref="I2:I3"/>
  </mergeCells>
  <pageMargins left="0.45" right="0.45" top="0.25" bottom="0" header="0.3" footer="0"/>
  <pageSetup paperSize="9" scale="70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zoomScaleNormal="100" workbookViewId="0">
      <selection activeCell="C8" sqref="C8"/>
    </sheetView>
  </sheetViews>
  <sheetFormatPr defaultRowHeight="15" x14ac:dyDescent="0.25"/>
  <cols>
    <col min="1" max="1" width="18.28515625" style="260" customWidth="1"/>
    <col min="2" max="2" width="16" style="260" customWidth="1"/>
    <col min="3" max="3" width="12.140625" style="260" customWidth="1"/>
    <col min="4" max="4" width="16.7109375" style="260" customWidth="1"/>
    <col min="5" max="5" width="18" style="260" customWidth="1"/>
    <col min="6" max="6" width="27.42578125" style="260" customWidth="1"/>
    <col min="7" max="7" width="21.5703125" style="260" customWidth="1"/>
    <col min="8" max="9" width="14.5703125" style="260" customWidth="1"/>
    <col min="10" max="16384" width="9.140625" style="260"/>
  </cols>
  <sheetData>
    <row r="1" spans="1:11" ht="31.5" customHeight="1" x14ac:dyDescent="0.25">
      <c r="A1" s="744" t="s">
        <v>888</v>
      </c>
      <c r="B1" s="744"/>
      <c r="C1" s="744"/>
      <c r="D1" s="744"/>
      <c r="E1" s="744"/>
      <c r="F1" s="744"/>
      <c r="H1" s="745" t="s">
        <v>889</v>
      </c>
      <c r="I1" s="745"/>
    </row>
    <row r="2" spans="1:11" ht="19.5" customHeight="1" x14ac:dyDescent="0.25">
      <c r="A2" s="746" t="s">
        <v>7</v>
      </c>
      <c r="B2" s="746" t="s">
        <v>47</v>
      </c>
      <c r="C2" s="746" t="s">
        <v>199</v>
      </c>
      <c r="D2" s="746"/>
      <c r="E2" s="747" t="s">
        <v>32</v>
      </c>
      <c r="F2" s="746" t="s">
        <v>591</v>
      </c>
      <c r="G2" s="601"/>
      <c r="H2" s="746" t="s">
        <v>7</v>
      </c>
      <c r="I2" s="746" t="s">
        <v>47</v>
      </c>
    </row>
    <row r="3" spans="1:11" ht="19.5" customHeight="1" x14ac:dyDescent="0.25">
      <c r="A3" s="746"/>
      <c r="B3" s="746"/>
      <c r="C3" s="673" t="s">
        <v>5</v>
      </c>
      <c r="D3" s="673" t="s">
        <v>152</v>
      </c>
      <c r="E3" s="748"/>
      <c r="F3" s="746"/>
      <c r="G3" s="601"/>
      <c r="H3" s="746"/>
      <c r="I3" s="746"/>
    </row>
    <row r="4" spans="1:11" s="607" customFormat="1" ht="24" customHeight="1" x14ac:dyDescent="0.25">
      <c r="A4" s="603" t="s">
        <v>11</v>
      </c>
      <c r="B4" s="604">
        <v>190500</v>
      </c>
      <c r="C4" s="604">
        <v>37000</v>
      </c>
      <c r="D4" s="604">
        <v>153500</v>
      </c>
      <c r="E4" s="605">
        <f>+B4-(C4+D4)</f>
        <v>0</v>
      </c>
      <c r="F4" s="606"/>
      <c r="H4" s="603" t="s">
        <v>11</v>
      </c>
      <c r="I4" s="604">
        <v>190500</v>
      </c>
    </row>
    <row r="5" spans="1:11" s="607" customFormat="1" ht="24" customHeight="1" x14ac:dyDescent="0.25">
      <c r="A5" s="603" t="s">
        <v>17</v>
      </c>
      <c r="B5" s="603">
        <v>163883</v>
      </c>
      <c r="C5" s="603">
        <v>24400</v>
      </c>
      <c r="D5" s="603">
        <v>139483</v>
      </c>
      <c r="E5" s="605">
        <f t="shared" ref="E5:E10" si="0">+B5-(C5+D5)</f>
        <v>0</v>
      </c>
      <c r="F5" s="608"/>
      <c r="H5" s="603" t="s">
        <v>17</v>
      </c>
      <c r="I5" s="603">
        <v>163883</v>
      </c>
    </row>
    <row r="6" spans="1:11" s="607" customFormat="1" ht="24" customHeight="1" x14ac:dyDescent="0.25">
      <c r="A6" s="603" t="s">
        <v>24</v>
      </c>
      <c r="B6" s="603">
        <v>187707</v>
      </c>
      <c r="C6" s="603">
        <v>187707</v>
      </c>
      <c r="D6" s="604"/>
      <c r="E6" s="605">
        <f t="shared" si="0"/>
        <v>0</v>
      </c>
      <c r="F6" s="608"/>
      <c r="H6" s="603" t="s">
        <v>24</v>
      </c>
      <c r="I6" s="603">
        <v>187707</v>
      </c>
    </row>
    <row r="7" spans="1:11" s="607" customFormat="1" ht="24" customHeight="1" x14ac:dyDescent="0.25">
      <c r="A7" s="603" t="s">
        <v>42</v>
      </c>
      <c r="B7" s="603">
        <v>290000</v>
      </c>
      <c r="C7" s="603">
        <v>205000</v>
      </c>
      <c r="D7" s="603">
        <v>85000</v>
      </c>
      <c r="E7" s="605">
        <f t="shared" si="0"/>
        <v>0</v>
      </c>
      <c r="F7" s="609"/>
      <c r="H7" s="603" t="s">
        <v>42</v>
      </c>
      <c r="I7" s="603">
        <v>290000</v>
      </c>
    </row>
    <row r="8" spans="1:11" s="607" customFormat="1" ht="24" customHeight="1" x14ac:dyDescent="0.25">
      <c r="A8" s="603" t="s">
        <v>29</v>
      </c>
      <c r="B8" s="603">
        <v>32280</v>
      </c>
      <c r="C8" s="603">
        <v>32280</v>
      </c>
      <c r="D8" s="603"/>
      <c r="E8" s="605">
        <f t="shared" si="0"/>
        <v>0</v>
      </c>
      <c r="F8" s="610"/>
      <c r="H8" s="603" t="s">
        <v>29</v>
      </c>
      <c r="I8" s="603">
        <v>32280</v>
      </c>
    </row>
    <row r="9" spans="1:11" s="607" customFormat="1" ht="24" customHeight="1" x14ac:dyDescent="0.25">
      <c r="A9" s="603" t="s">
        <v>260</v>
      </c>
      <c r="B9" s="603">
        <v>32085</v>
      </c>
      <c r="C9" s="603"/>
      <c r="D9" s="603">
        <v>32085</v>
      </c>
      <c r="E9" s="605">
        <f t="shared" si="0"/>
        <v>0</v>
      </c>
      <c r="F9" s="611"/>
      <c r="H9" s="603" t="s">
        <v>260</v>
      </c>
      <c r="I9" s="603">
        <v>32085</v>
      </c>
    </row>
    <row r="10" spans="1:11" s="607" customFormat="1" ht="24" customHeight="1" x14ac:dyDescent="0.25">
      <c r="A10" s="603"/>
      <c r="B10" s="603"/>
      <c r="C10" s="603"/>
      <c r="D10" s="603"/>
      <c r="E10" s="605">
        <f t="shared" si="0"/>
        <v>0</v>
      </c>
      <c r="F10" s="610"/>
      <c r="H10" s="603"/>
      <c r="I10" s="603"/>
    </row>
    <row r="11" spans="1:11" s="607" customFormat="1" ht="24" customHeight="1" x14ac:dyDescent="0.25">
      <c r="A11" s="672" t="s">
        <v>12</v>
      </c>
      <c r="B11" s="612">
        <f>SUM(B4:B10)</f>
        <v>896455</v>
      </c>
      <c r="C11" s="612">
        <f>SUM(C4:C10)</f>
        <v>486387</v>
      </c>
      <c r="D11" s="612">
        <f>SUM(D4:D10)</f>
        <v>410068</v>
      </c>
      <c r="E11" s="613">
        <f>SUM(E4:E10)</f>
        <v>0</v>
      </c>
      <c r="F11" s="614">
        <f>+C11+D11</f>
        <v>896455</v>
      </c>
      <c r="H11" s="697" t="s">
        <v>12</v>
      </c>
      <c r="I11" s="612">
        <f>SUM(I4:I10)</f>
        <v>896455</v>
      </c>
    </row>
    <row r="12" spans="1:11" s="607" customFormat="1" ht="24" customHeight="1" x14ac:dyDescent="0.25"/>
    <row r="13" spans="1:11" s="607" customFormat="1" ht="24" customHeight="1" x14ac:dyDescent="0.25">
      <c r="A13" s="615"/>
      <c r="B13" s="676"/>
      <c r="C13" s="617"/>
      <c r="D13" s="676"/>
      <c r="E13" s="618"/>
      <c r="F13" s="615"/>
      <c r="G13" s="676"/>
      <c r="H13" s="676"/>
      <c r="I13" s="676"/>
      <c r="J13" s="676"/>
      <c r="K13" s="618"/>
    </row>
    <row r="14" spans="1:11" s="607" customFormat="1" ht="24" customHeight="1" x14ac:dyDescent="0.25">
      <c r="A14" s="751"/>
      <c r="B14" s="751"/>
      <c r="C14" s="751"/>
      <c r="D14" s="751"/>
      <c r="E14" s="618"/>
      <c r="F14" s="743"/>
      <c r="G14" s="743"/>
      <c r="H14" s="743"/>
      <c r="I14" s="743"/>
      <c r="J14" s="676"/>
      <c r="K14" s="618"/>
    </row>
    <row r="15" spans="1:11" s="607" customFormat="1" ht="24" customHeight="1" x14ac:dyDescent="0.25">
      <c r="A15" s="486"/>
      <c r="B15" s="486"/>
      <c r="C15" s="487"/>
      <c r="D15" s="486"/>
      <c r="E15" s="619"/>
      <c r="F15" s="486"/>
      <c r="G15" s="486"/>
      <c r="H15" s="487"/>
      <c r="I15" s="486"/>
      <c r="J15" s="620"/>
      <c r="K15" s="619"/>
    </row>
    <row r="16" spans="1:11" s="607" customFormat="1" ht="24" customHeight="1" x14ac:dyDescent="0.25">
      <c r="A16" s="628"/>
      <c r="B16" s="628"/>
      <c r="C16" s="629"/>
      <c r="D16" s="676"/>
      <c r="E16" s="615"/>
      <c r="F16" s="678"/>
      <c r="G16" s="6"/>
      <c r="H16" s="488"/>
      <c r="I16" s="677"/>
      <c r="J16" s="626"/>
      <c r="K16" s="615"/>
    </row>
    <row r="17" spans="1:11" s="607" customFormat="1" ht="24" customHeight="1" x14ac:dyDescent="0.25">
      <c r="A17" s="628"/>
      <c r="B17" s="628"/>
      <c r="C17" s="629"/>
      <c r="D17" s="676"/>
      <c r="E17" s="615"/>
      <c r="F17" s="6"/>
      <c r="G17" s="6"/>
      <c r="H17" s="488"/>
      <c r="I17" s="677"/>
      <c r="J17" s="626"/>
      <c r="K17" s="615"/>
    </row>
    <row r="18" spans="1:11" s="607" customFormat="1" ht="24" customHeight="1" x14ac:dyDescent="0.25">
      <c r="A18" s="628"/>
      <c r="B18" s="628"/>
      <c r="C18" s="629"/>
      <c r="D18" s="676"/>
      <c r="E18" s="615"/>
      <c r="F18" s="6"/>
      <c r="G18" s="6"/>
      <c r="H18" s="488"/>
      <c r="I18" s="677"/>
      <c r="J18" s="626"/>
      <c r="K18" s="615"/>
    </row>
    <row r="19" spans="1:11" s="607" customFormat="1" ht="24" customHeight="1" x14ac:dyDescent="0.25">
      <c r="A19" s="676"/>
      <c r="B19" s="628"/>
      <c r="C19" s="629"/>
      <c r="D19" s="676"/>
      <c r="E19" s="615"/>
      <c r="F19" s="6"/>
      <c r="G19" s="6"/>
      <c r="H19" s="488"/>
      <c r="I19" s="677"/>
      <c r="J19" s="626"/>
      <c r="K19" s="615"/>
    </row>
    <row r="20" spans="1:11" s="607" customFormat="1" ht="24" customHeight="1" x14ac:dyDescent="0.25">
      <c r="A20" s="628"/>
      <c r="B20" s="628"/>
      <c r="C20" s="629"/>
      <c r="D20" s="676"/>
      <c r="E20" s="615"/>
      <c r="F20" s="6"/>
      <c r="G20" s="6"/>
      <c r="H20" s="488"/>
      <c r="I20" s="677"/>
      <c r="J20" s="626"/>
      <c r="K20" s="615"/>
    </row>
    <row r="21" spans="1:11" s="607" customFormat="1" ht="24" customHeight="1" x14ac:dyDescent="0.25">
      <c r="A21" s="676"/>
      <c r="B21" s="676"/>
      <c r="C21" s="630"/>
      <c r="D21" s="630"/>
      <c r="E21" s="615"/>
      <c r="F21" s="628"/>
      <c r="G21" s="628"/>
      <c r="H21" s="629"/>
      <c r="I21" s="676"/>
      <c r="J21" s="626"/>
      <c r="K21" s="615"/>
    </row>
    <row r="22" spans="1:11" s="607" customFormat="1" ht="24" customHeight="1" x14ac:dyDescent="0.25">
      <c r="A22" s="620"/>
      <c r="B22" s="676"/>
      <c r="C22" s="630"/>
      <c r="D22" s="630"/>
      <c r="E22" s="615"/>
      <c r="F22" s="615"/>
      <c r="G22" s="615"/>
      <c r="H22" s="615"/>
      <c r="I22" s="615"/>
      <c r="J22" s="615"/>
    </row>
    <row r="23" spans="1:11" s="607" customFormat="1" ht="24" customHeight="1" x14ac:dyDescent="0.25">
      <c r="A23" s="751"/>
      <c r="B23" s="751"/>
      <c r="C23" s="751"/>
      <c r="D23" s="751"/>
      <c r="E23" s="631"/>
      <c r="F23" s="743"/>
      <c r="G23" s="743"/>
      <c r="H23" s="743"/>
      <c r="I23" s="743"/>
      <c r="J23" s="615"/>
    </row>
    <row r="24" spans="1:11" s="607" customFormat="1" ht="24" customHeight="1" x14ac:dyDescent="0.25">
      <c r="A24" s="486"/>
      <c r="B24" s="486"/>
      <c r="C24" s="487"/>
      <c r="D24" s="486"/>
      <c r="E24" s="631"/>
      <c r="F24" s="486"/>
      <c r="G24" s="486"/>
      <c r="H24" s="487"/>
      <c r="I24" s="486"/>
      <c r="J24" s="615"/>
    </row>
    <row r="25" spans="1:11" s="607" customFormat="1" ht="24" customHeight="1" x14ac:dyDescent="0.25">
      <c r="A25" s="679"/>
      <c r="B25" s="680"/>
      <c r="C25" s="681"/>
      <c r="D25" s="676"/>
      <c r="E25" s="631"/>
      <c r="F25" s="6"/>
      <c r="G25" s="6"/>
      <c r="H25" s="488"/>
      <c r="I25" s="677"/>
      <c r="J25" s="615"/>
    </row>
    <row r="26" spans="1:11" s="607" customFormat="1" ht="24" customHeight="1" x14ac:dyDescent="0.25">
      <c r="A26" s="679"/>
      <c r="B26" s="680"/>
      <c r="C26" s="681"/>
      <c r="D26" s="676"/>
      <c r="E26" s="615"/>
      <c r="F26" s="6"/>
      <c r="G26" s="6"/>
      <c r="H26" s="488"/>
      <c r="I26" s="677"/>
      <c r="J26" s="615"/>
    </row>
    <row r="27" spans="1:11" s="607" customFormat="1" ht="24" customHeight="1" x14ac:dyDescent="0.25">
      <c r="A27" s="679"/>
      <c r="B27" s="680"/>
      <c r="C27" s="681"/>
      <c r="D27" s="615"/>
      <c r="E27" s="615"/>
      <c r="F27" s="6"/>
      <c r="G27" s="6"/>
      <c r="H27" s="488"/>
      <c r="I27" s="677"/>
      <c r="J27" s="615"/>
    </row>
    <row r="28" spans="1:11" s="607" customFormat="1" ht="24" customHeight="1" x14ac:dyDescent="0.25">
      <c r="A28" s="679"/>
      <c r="B28" s="680"/>
      <c r="C28" s="681"/>
      <c r="D28" s="615"/>
      <c r="E28" s="615"/>
      <c r="F28" s="6"/>
      <c r="G28" s="6"/>
      <c r="H28" s="488"/>
      <c r="I28" s="677"/>
      <c r="J28" s="615"/>
    </row>
    <row r="29" spans="1:11" s="607" customFormat="1" ht="24" customHeight="1" x14ac:dyDescent="0.25">
      <c r="A29" s="679"/>
      <c r="B29" s="680"/>
      <c r="C29" s="681"/>
      <c r="D29" s="615"/>
      <c r="E29" s="615"/>
      <c r="F29" s="6"/>
      <c r="G29" s="6"/>
      <c r="H29" s="488"/>
      <c r="I29" s="677"/>
      <c r="J29" s="615"/>
    </row>
    <row r="30" spans="1:11" s="607" customFormat="1" ht="24" customHeight="1" x14ac:dyDescent="0.25">
      <c r="A30" s="679"/>
      <c r="B30" s="680"/>
      <c r="C30" s="681"/>
      <c r="D30" s="615"/>
      <c r="E30" s="615"/>
      <c r="F30" s="6"/>
      <c r="G30" s="6"/>
      <c r="H30" s="488"/>
      <c r="I30" s="677"/>
      <c r="J30" s="615"/>
    </row>
    <row r="31" spans="1:11" s="607" customFormat="1" ht="24" customHeight="1" x14ac:dyDescent="0.25">
      <c r="A31" s="679"/>
      <c r="B31" s="680"/>
      <c r="C31" s="681"/>
      <c r="D31" s="615"/>
      <c r="E31" s="615"/>
      <c r="F31" s="615"/>
      <c r="G31" s="615"/>
      <c r="H31" s="615"/>
      <c r="I31" s="615"/>
      <c r="J31" s="615"/>
    </row>
    <row r="32" spans="1:11" ht="22.5" customHeight="1" x14ac:dyDescent="0.25">
      <c r="A32" s="682"/>
      <c r="B32" s="683"/>
      <c r="C32" s="684"/>
      <c r="D32" s="3"/>
      <c r="E32" s="3"/>
      <c r="F32" s="3"/>
      <c r="G32" s="3"/>
      <c r="H32" s="3"/>
      <c r="I32" s="3"/>
      <c r="J32" s="3"/>
    </row>
    <row r="33" spans="1:10" ht="22.5" customHeight="1" x14ac:dyDescent="0.25">
      <c r="A33" s="682"/>
      <c r="B33" s="683"/>
      <c r="C33" s="684"/>
      <c r="D33" s="3"/>
      <c r="E33" s="3"/>
      <c r="F33" s="3"/>
      <c r="G33" s="3"/>
      <c r="H33" s="3"/>
      <c r="I33" s="3"/>
      <c r="J33" s="3"/>
    </row>
    <row r="34" spans="1:10" ht="22.5" customHeight="1" x14ac:dyDescent="0.25">
      <c r="A34" s="682"/>
      <c r="B34" s="683"/>
      <c r="C34" s="684"/>
      <c r="D34" s="3"/>
      <c r="E34" s="3"/>
      <c r="F34" s="3"/>
      <c r="G34" s="3"/>
      <c r="H34" s="3"/>
      <c r="I34" s="3"/>
      <c r="J34" s="3"/>
    </row>
    <row r="35" spans="1:10" ht="22.5" customHeight="1" x14ac:dyDescent="0.25">
      <c r="A35" s="679"/>
      <c r="B35" s="680"/>
      <c r="C35" s="681"/>
      <c r="D35" s="3"/>
      <c r="E35" s="3"/>
      <c r="F35" s="3"/>
      <c r="G35" s="3"/>
      <c r="H35" s="3"/>
      <c r="I35" s="3"/>
      <c r="J35" s="3"/>
    </row>
    <row r="36" spans="1:10" ht="22.5" customHeight="1" x14ac:dyDescent="0.25">
      <c r="A36" s="679"/>
      <c r="B36" s="680"/>
      <c r="C36" s="681"/>
      <c r="D36" s="676"/>
      <c r="E36" s="3"/>
      <c r="F36" s="3"/>
      <c r="G36" s="3"/>
      <c r="H36" s="3"/>
      <c r="I36" s="3"/>
      <c r="J36" s="3"/>
    </row>
    <row r="37" spans="1:10" ht="22.5" customHeight="1" x14ac:dyDescent="0.25">
      <c r="A37" s="679"/>
      <c r="B37" s="680"/>
      <c r="C37" s="681"/>
      <c r="D37" s="676"/>
      <c r="E37" s="3"/>
      <c r="F37" s="3"/>
      <c r="G37" s="3"/>
      <c r="H37" s="3"/>
      <c r="I37" s="3"/>
      <c r="J37" s="3"/>
    </row>
    <row r="38" spans="1:10" ht="22.5" customHeight="1" x14ac:dyDescent="0.25">
      <c r="A38" s="679"/>
      <c r="B38" s="680"/>
      <c r="C38" s="681"/>
      <c r="D38" s="3"/>
      <c r="E38" s="3"/>
      <c r="F38" s="3"/>
      <c r="G38" s="3"/>
      <c r="H38" s="3"/>
      <c r="I38" s="3"/>
      <c r="J38" s="3"/>
    </row>
    <row r="39" spans="1:10" ht="22.5" customHeight="1" x14ac:dyDescent="0.25">
      <c r="A39" s="679"/>
      <c r="B39" s="680"/>
      <c r="C39" s="681"/>
      <c r="D39" s="3"/>
      <c r="E39" s="3"/>
      <c r="F39" s="3"/>
      <c r="G39" s="3"/>
      <c r="H39" s="3"/>
      <c r="I39" s="3"/>
      <c r="J39" s="3"/>
    </row>
    <row r="40" spans="1:10" ht="22.5" customHeight="1" x14ac:dyDescent="0.25">
      <c r="A40" s="679"/>
      <c r="B40" s="680"/>
      <c r="C40" s="681"/>
      <c r="D40" s="3"/>
      <c r="E40" s="3"/>
      <c r="F40" s="3"/>
      <c r="G40" s="3"/>
      <c r="H40" s="3"/>
      <c r="I40" s="3"/>
      <c r="J40" s="3"/>
    </row>
    <row r="41" spans="1:10" ht="22.5" customHeight="1" x14ac:dyDescent="0.25">
      <c r="A41" s="679"/>
      <c r="B41" s="680"/>
      <c r="C41" s="681"/>
      <c r="D41" s="3"/>
      <c r="E41" s="3"/>
      <c r="F41" s="3"/>
      <c r="G41" s="3"/>
      <c r="H41" s="3"/>
      <c r="I41" s="3"/>
      <c r="J41" s="3"/>
    </row>
    <row r="42" spans="1:10" ht="22.5" customHeight="1" x14ac:dyDescent="0.25">
      <c r="A42" s="679"/>
      <c r="B42" s="680"/>
      <c r="C42" s="681"/>
      <c r="D42" s="3"/>
      <c r="E42" s="3"/>
      <c r="F42" s="3"/>
      <c r="G42" s="3"/>
      <c r="H42" s="3"/>
      <c r="I42" s="3"/>
      <c r="J42" s="3"/>
    </row>
    <row r="43" spans="1:10" ht="22.5" customHeight="1" x14ac:dyDescent="0.25">
      <c r="A43" s="679"/>
      <c r="B43" s="685"/>
      <c r="C43" s="3"/>
      <c r="D43" s="3"/>
      <c r="E43" s="3"/>
      <c r="F43" s="3"/>
      <c r="G43" s="3"/>
      <c r="H43" s="3"/>
      <c r="I43" s="3"/>
      <c r="J43" s="3"/>
    </row>
  </sheetData>
  <mergeCells count="13">
    <mergeCell ref="A14:D14"/>
    <mergeCell ref="F14:I14"/>
    <mergeCell ref="A23:D23"/>
    <mergeCell ref="F23:I23"/>
    <mergeCell ref="A1:F1"/>
    <mergeCell ref="H1:I1"/>
    <mergeCell ref="A2:A3"/>
    <mergeCell ref="B2:B3"/>
    <mergeCell ref="C2:D2"/>
    <mergeCell ref="E2:E3"/>
    <mergeCell ref="F2:F3"/>
    <mergeCell ref="H2:H3"/>
    <mergeCell ref="I2:I3"/>
  </mergeCells>
  <pageMargins left="0.45" right="0.45" top="0.25" bottom="0" header="0.3" footer="0"/>
  <pageSetup paperSize="9" scale="7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opLeftCell="A39" zoomScaleNormal="100" workbookViewId="0">
      <selection activeCell="E57" sqref="E57:E59"/>
    </sheetView>
  </sheetViews>
  <sheetFormatPr defaultRowHeight="15" x14ac:dyDescent="0.25"/>
  <cols>
    <col min="1" max="1" width="18.28515625" style="260" customWidth="1"/>
    <col min="2" max="2" width="16" style="260" customWidth="1"/>
    <col min="3" max="3" width="12.140625" style="260" customWidth="1"/>
    <col min="4" max="4" width="16.7109375" style="260" customWidth="1"/>
    <col min="5" max="5" width="18" style="260" customWidth="1"/>
    <col min="6" max="6" width="27.42578125" style="260" customWidth="1"/>
    <col min="7" max="7" width="21.5703125" style="260" customWidth="1"/>
    <col min="8" max="9" width="14.5703125" style="260" customWidth="1"/>
    <col min="10" max="16384" width="9.140625" style="260"/>
  </cols>
  <sheetData>
    <row r="1" spans="1:11" ht="31.5" customHeight="1" x14ac:dyDescent="0.25">
      <c r="A1" s="744" t="s">
        <v>855</v>
      </c>
      <c r="B1" s="744"/>
      <c r="C1" s="744"/>
      <c r="D1" s="744"/>
      <c r="E1" s="744"/>
      <c r="F1" s="744"/>
      <c r="H1" s="745" t="s">
        <v>856</v>
      </c>
      <c r="I1" s="745"/>
    </row>
    <row r="2" spans="1:11" ht="19.5" customHeight="1" x14ac:dyDescent="0.25">
      <c r="A2" s="746" t="s">
        <v>7</v>
      </c>
      <c r="B2" s="746" t="s">
        <v>47</v>
      </c>
      <c r="C2" s="746" t="s">
        <v>199</v>
      </c>
      <c r="D2" s="746"/>
      <c r="E2" s="747" t="s">
        <v>32</v>
      </c>
      <c r="F2" s="746" t="s">
        <v>591</v>
      </c>
      <c r="G2" s="601"/>
      <c r="H2" s="746" t="s">
        <v>7</v>
      </c>
      <c r="I2" s="746" t="s">
        <v>47</v>
      </c>
    </row>
    <row r="3" spans="1:11" ht="19.5" customHeight="1" x14ac:dyDescent="0.25">
      <c r="A3" s="746"/>
      <c r="B3" s="746"/>
      <c r="C3" s="657" t="s">
        <v>5</v>
      </c>
      <c r="D3" s="657" t="s">
        <v>152</v>
      </c>
      <c r="E3" s="748"/>
      <c r="F3" s="746"/>
      <c r="G3" s="601"/>
      <c r="H3" s="746"/>
      <c r="I3" s="746"/>
    </row>
    <row r="4" spans="1:11" s="607" customFormat="1" ht="24" customHeight="1" x14ac:dyDescent="0.25">
      <c r="A4" s="603" t="s">
        <v>11</v>
      </c>
      <c r="B4" s="604">
        <v>1038478</v>
      </c>
      <c r="C4" s="604">
        <v>110600</v>
      </c>
      <c r="D4" s="604">
        <v>387358</v>
      </c>
      <c r="E4" s="605">
        <f>+B4-(C4+D4)</f>
        <v>540520</v>
      </c>
      <c r="F4" s="606"/>
      <c r="H4" s="603" t="s">
        <v>11</v>
      </c>
      <c r="I4" s="604">
        <v>1038478</v>
      </c>
    </row>
    <row r="5" spans="1:11" s="607" customFormat="1" ht="24" customHeight="1" x14ac:dyDescent="0.25">
      <c r="A5" s="603" t="s">
        <v>17</v>
      </c>
      <c r="B5" s="603">
        <v>129754</v>
      </c>
      <c r="C5" s="603">
        <v>68044</v>
      </c>
      <c r="D5" s="603">
        <v>61710</v>
      </c>
      <c r="E5" s="605">
        <f t="shared" ref="E5:E10" si="0">+B5-(C5+D5)</f>
        <v>0</v>
      </c>
      <c r="F5" s="608"/>
      <c r="H5" s="603" t="s">
        <v>17</v>
      </c>
      <c r="I5" s="603">
        <v>129754</v>
      </c>
    </row>
    <row r="6" spans="1:11" s="607" customFormat="1" ht="24" customHeight="1" x14ac:dyDescent="0.25">
      <c r="A6" s="603" t="s">
        <v>24</v>
      </c>
      <c r="B6" s="603">
        <v>234923</v>
      </c>
      <c r="C6" s="604">
        <v>170062</v>
      </c>
      <c r="D6" s="604"/>
      <c r="E6" s="605">
        <f t="shared" si="0"/>
        <v>64861</v>
      </c>
      <c r="F6" s="608"/>
      <c r="H6" s="603" t="s">
        <v>24</v>
      </c>
      <c r="I6" s="603">
        <v>234923</v>
      </c>
    </row>
    <row r="7" spans="1:11" s="607" customFormat="1" ht="24" customHeight="1" x14ac:dyDescent="0.25">
      <c r="A7" s="603" t="s">
        <v>42</v>
      </c>
      <c r="B7" s="603">
        <v>446492</v>
      </c>
      <c r="C7" s="603">
        <v>185476</v>
      </c>
      <c r="D7" s="603"/>
      <c r="E7" s="605">
        <f t="shared" si="0"/>
        <v>261016</v>
      </c>
      <c r="F7" s="609"/>
      <c r="H7" s="603" t="s">
        <v>42</v>
      </c>
      <c r="I7" s="603">
        <v>319476</v>
      </c>
    </row>
    <row r="8" spans="1:11" s="607" customFormat="1" ht="24" customHeight="1" x14ac:dyDescent="0.25">
      <c r="A8" s="603" t="s">
        <v>29</v>
      </c>
      <c r="B8" s="603">
        <v>28961</v>
      </c>
      <c r="C8" s="603">
        <v>28961</v>
      </c>
      <c r="D8" s="603"/>
      <c r="E8" s="605">
        <f t="shared" si="0"/>
        <v>0</v>
      </c>
      <c r="F8" s="610"/>
      <c r="H8" s="603" t="s">
        <v>29</v>
      </c>
      <c r="I8" s="603">
        <v>28961</v>
      </c>
    </row>
    <row r="9" spans="1:11" s="607" customFormat="1" ht="24" customHeight="1" x14ac:dyDescent="0.25">
      <c r="A9" s="603" t="s">
        <v>260</v>
      </c>
      <c r="B9" s="603">
        <v>42824</v>
      </c>
      <c r="C9" s="603"/>
      <c r="D9" s="603">
        <v>42824</v>
      </c>
      <c r="E9" s="605">
        <f t="shared" si="0"/>
        <v>0</v>
      </c>
      <c r="F9" s="611"/>
      <c r="H9" s="603" t="s">
        <v>260</v>
      </c>
      <c r="I9" s="603">
        <v>42824</v>
      </c>
    </row>
    <row r="10" spans="1:11" s="607" customFormat="1" ht="24" customHeight="1" x14ac:dyDescent="0.25">
      <c r="A10" s="603"/>
      <c r="B10" s="603"/>
      <c r="C10" s="603"/>
      <c r="D10" s="603"/>
      <c r="E10" s="605">
        <f t="shared" si="0"/>
        <v>0</v>
      </c>
      <c r="F10" s="610"/>
      <c r="H10" s="603"/>
      <c r="I10" s="603"/>
    </row>
    <row r="11" spans="1:11" s="607" customFormat="1" ht="24" customHeight="1" x14ac:dyDescent="0.25">
      <c r="A11" s="656" t="s">
        <v>12</v>
      </c>
      <c r="B11" s="612">
        <f>SUM(B4:B10)</f>
        <v>1921432</v>
      </c>
      <c r="C11" s="612">
        <f>SUM(C4:C10)</f>
        <v>563143</v>
      </c>
      <c r="D11" s="612">
        <f>SUM(D4:D10)</f>
        <v>491892</v>
      </c>
      <c r="E11" s="613">
        <f>SUM(E4:E10)</f>
        <v>866397</v>
      </c>
      <c r="F11" s="614">
        <f>+C11+D11</f>
        <v>1055035</v>
      </c>
      <c r="H11" s="661" t="s">
        <v>12</v>
      </c>
      <c r="I11" s="612">
        <f>SUM(I4:I10)</f>
        <v>1794416</v>
      </c>
    </row>
    <row r="12" spans="1:11" s="607" customFormat="1" ht="24" customHeight="1" x14ac:dyDescent="0.25"/>
    <row r="13" spans="1:11" s="607" customFormat="1" ht="24" customHeight="1" x14ac:dyDescent="0.25">
      <c r="A13" s="615"/>
      <c r="B13" s="655"/>
      <c r="C13" s="617"/>
      <c r="D13" s="655"/>
      <c r="E13" s="618"/>
      <c r="G13" s="655"/>
      <c r="H13" s="655"/>
      <c r="I13" s="655"/>
      <c r="J13" s="655"/>
      <c r="K13" s="618"/>
    </row>
    <row r="14" spans="1:11" s="607" customFormat="1" ht="24" customHeight="1" x14ac:dyDescent="0.25">
      <c r="A14" s="742" t="s">
        <v>476</v>
      </c>
      <c r="B14" s="742"/>
      <c r="C14" s="742"/>
      <c r="D14" s="742"/>
      <c r="E14" s="618"/>
      <c r="F14" s="752" t="s">
        <v>496</v>
      </c>
      <c r="G14" s="752"/>
      <c r="H14" s="752"/>
      <c r="I14" s="752"/>
      <c r="J14" s="655"/>
      <c r="K14" s="618"/>
    </row>
    <row r="15" spans="1:11" s="607" customFormat="1" ht="24" customHeight="1" x14ac:dyDescent="0.25">
      <c r="A15" s="455" t="s">
        <v>8</v>
      </c>
      <c r="B15" s="455" t="s">
        <v>498</v>
      </c>
      <c r="C15" s="456" t="s">
        <v>499</v>
      </c>
      <c r="D15" s="455"/>
      <c r="E15" s="619"/>
      <c r="F15" s="455" t="s">
        <v>8</v>
      </c>
      <c r="G15" s="455" t="s">
        <v>498</v>
      </c>
      <c r="H15" s="456" t="s">
        <v>499</v>
      </c>
      <c r="I15" s="455"/>
      <c r="J15" s="620"/>
      <c r="K15" s="619"/>
    </row>
    <row r="16" spans="1:11" s="607" customFormat="1" ht="24" customHeight="1" x14ac:dyDescent="0.25">
      <c r="A16" s="621" t="s">
        <v>891</v>
      </c>
      <c r="B16" s="621">
        <v>20000</v>
      </c>
      <c r="C16" s="622">
        <v>42906</v>
      </c>
      <c r="D16" s="654" t="s">
        <v>665</v>
      </c>
      <c r="E16" s="615"/>
      <c r="F16" s="13">
        <v>84827</v>
      </c>
      <c r="G16" s="13">
        <v>11556</v>
      </c>
      <c r="H16" s="439">
        <v>42887</v>
      </c>
      <c r="I16" s="671" t="s">
        <v>333</v>
      </c>
      <c r="J16" s="626"/>
      <c r="K16" s="615"/>
    </row>
    <row r="17" spans="1:11" s="607" customFormat="1" ht="24" customHeight="1" x14ac:dyDescent="0.25">
      <c r="A17" s="621" t="s">
        <v>890</v>
      </c>
      <c r="B17" s="621">
        <v>50000</v>
      </c>
      <c r="C17" s="622">
        <v>42901</v>
      </c>
      <c r="D17" s="654"/>
      <c r="E17" s="615"/>
      <c r="F17" s="13">
        <v>84501</v>
      </c>
      <c r="G17" s="13">
        <v>45990</v>
      </c>
      <c r="H17" s="439">
        <v>42894</v>
      </c>
      <c r="I17" s="671" t="s">
        <v>333</v>
      </c>
      <c r="J17" s="626"/>
      <c r="K17" s="615"/>
    </row>
    <row r="18" spans="1:11" s="607" customFormat="1" ht="24" customHeight="1" x14ac:dyDescent="0.25">
      <c r="A18" s="621" t="s">
        <v>892</v>
      </c>
      <c r="B18" s="621">
        <v>64000</v>
      </c>
      <c r="C18" s="622">
        <v>42906</v>
      </c>
      <c r="D18" s="674" t="s">
        <v>357</v>
      </c>
      <c r="E18" s="615"/>
      <c r="F18" s="13">
        <v>84500</v>
      </c>
      <c r="G18" s="13">
        <v>4895</v>
      </c>
      <c r="H18" s="439">
        <v>42921</v>
      </c>
      <c r="I18" s="671"/>
      <c r="J18" s="626"/>
      <c r="K18" s="615"/>
    </row>
    <row r="19" spans="1:11" s="607" customFormat="1" ht="24" customHeight="1" x14ac:dyDescent="0.25">
      <c r="A19" s="689" t="s">
        <v>918</v>
      </c>
      <c r="B19" s="621">
        <v>127016</v>
      </c>
      <c r="C19" s="622">
        <v>42904</v>
      </c>
      <c r="D19" s="654"/>
      <c r="E19" s="615"/>
      <c r="F19" s="13"/>
      <c r="G19" s="13"/>
      <c r="H19" s="439"/>
      <c r="I19" s="671"/>
      <c r="J19" s="626"/>
      <c r="K19" s="615"/>
    </row>
    <row r="20" spans="1:11" s="607" customFormat="1" ht="24" customHeight="1" x14ac:dyDescent="0.25">
      <c r="A20" s="621"/>
      <c r="B20" s="621"/>
      <c r="C20" s="622"/>
      <c r="D20" s="654"/>
      <c r="E20" s="615"/>
      <c r="F20" s="13"/>
      <c r="G20" s="13"/>
      <c r="H20" s="439"/>
      <c r="I20" s="671"/>
      <c r="J20" s="626"/>
      <c r="K20" s="615"/>
    </row>
    <row r="21" spans="1:11" s="607" customFormat="1" ht="24" customHeight="1" x14ac:dyDescent="0.25">
      <c r="A21" s="688" t="s">
        <v>12</v>
      </c>
      <c r="B21" s="654">
        <f>SUM(B16:B20)</f>
        <v>261016</v>
      </c>
      <c r="C21" s="627"/>
      <c r="D21" s="627"/>
      <c r="E21" s="615"/>
      <c r="F21" s="13" t="s">
        <v>12</v>
      </c>
      <c r="G21" s="13">
        <f>SUM(G16:G19)</f>
        <v>62441</v>
      </c>
      <c r="H21" s="439"/>
      <c r="I21" s="671"/>
      <c r="J21" s="626"/>
      <c r="K21" s="615"/>
    </row>
    <row r="22" spans="1:11" s="607" customFormat="1" ht="24" customHeight="1" x14ac:dyDescent="0.25">
      <c r="A22" s="620"/>
      <c r="B22" s="655"/>
      <c r="C22" s="630"/>
      <c r="D22" s="630"/>
      <c r="E22" s="615"/>
    </row>
    <row r="23" spans="1:11" s="607" customFormat="1" ht="24" customHeight="1" x14ac:dyDescent="0.25">
      <c r="A23" s="742" t="s">
        <v>477</v>
      </c>
      <c r="B23" s="742"/>
      <c r="C23" s="742"/>
      <c r="D23" s="742"/>
      <c r="E23" s="631"/>
      <c r="F23" s="752" t="s">
        <v>685</v>
      </c>
      <c r="G23" s="752"/>
      <c r="H23" s="752"/>
      <c r="I23" s="752"/>
    </row>
    <row r="24" spans="1:11" s="607" customFormat="1" ht="24" customHeight="1" x14ac:dyDescent="0.25">
      <c r="A24" s="455" t="s">
        <v>8</v>
      </c>
      <c r="B24" s="455" t="s">
        <v>498</v>
      </c>
      <c r="C24" s="456" t="s">
        <v>499</v>
      </c>
      <c r="D24" s="455"/>
      <c r="E24" s="631"/>
      <c r="F24" s="455" t="s">
        <v>8</v>
      </c>
      <c r="G24" s="455" t="s">
        <v>498</v>
      </c>
      <c r="H24" s="456" t="s">
        <v>499</v>
      </c>
      <c r="I24" s="455"/>
    </row>
    <row r="25" spans="1:11" s="607" customFormat="1" ht="24" customHeight="1" x14ac:dyDescent="0.25">
      <c r="A25" s="499" t="s">
        <v>697</v>
      </c>
      <c r="B25" s="500">
        <v>136000</v>
      </c>
      <c r="C25" s="501" t="s">
        <v>819</v>
      </c>
      <c r="D25" s="660"/>
      <c r="E25" s="631"/>
      <c r="F25" s="687" t="s">
        <v>916</v>
      </c>
      <c r="G25" s="13">
        <v>9142</v>
      </c>
      <c r="H25" s="439">
        <v>42912</v>
      </c>
      <c r="I25" s="686" t="s">
        <v>503</v>
      </c>
    </row>
    <row r="26" spans="1:11" s="607" customFormat="1" ht="24" customHeight="1" x14ac:dyDescent="0.25">
      <c r="A26" s="499" t="s">
        <v>697</v>
      </c>
      <c r="B26" s="500">
        <v>110800</v>
      </c>
      <c r="C26" s="501" t="s">
        <v>860</v>
      </c>
      <c r="D26" s="660" t="s">
        <v>870</v>
      </c>
      <c r="E26" s="615"/>
      <c r="F26" s="687" t="s">
        <v>917</v>
      </c>
      <c r="G26" s="13">
        <v>4222</v>
      </c>
      <c r="H26" s="439">
        <v>42905</v>
      </c>
      <c r="I26" s="686"/>
    </row>
    <row r="27" spans="1:11" s="607" customFormat="1" ht="24" customHeight="1" x14ac:dyDescent="0.25">
      <c r="A27" s="499" t="s">
        <v>753</v>
      </c>
      <c r="B27" s="500">
        <v>2500</v>
      </c>
      <c r="C27" s="501" t="s">
        <v>861</v>
      </c>
      <c r="D27" s="610"/>
      <c r="E27" s="615"/>
      <c r="F27" s="13" t="s">
        <v>12</v>
      </c>
      <c r="G27" s="13">
        <f>SUM(G25:G26)</f>
        <v>13364</v>
      </c>
      <c r="H27" s="439"/>
      <c r="I27" s="686"/>
    </row>
    <row r="28" spans="1:11" s="607" customFormat="1" ht="24" customHeight="1" x14ac:dyDescent="0.25">
      <c r="A28" s="499" t="s">
        <v>514</v>
      </c>
      <c r="B28" s="500">
        <v>13500</v>
      </c>
      <c r="C28" s="501" t="s">
        <v>861</v>
      </c>
      <c r="D28" s="610"/>
      <c r="E28" s="615"/>
    </row>
    <row r="29" spans="1:11" s="607" customFormat="1" ht="24" customHeight="1" x14ac:dyDescent="0.25">
      <c r="A29" s="499" t="s">
        <v>752</v>
      </c>
      <c r="B29" s="500">
        <v>11500</v>
      </c>
      <c r="C29" s="501" t="s">
        <v>819</v>
      </c>
      <c r="D29" s="610"/>
      <c r="E29" s="615"/>
    </row>
    <row r="30" spans="1:11" s="607" customFormat="1" ht="24" customHeight="1" x14ac:dyDescent="0.25">
      <c r="A30" s="499" t="s">
        <v>514</v>
      </c>
      <c r="B30" s="500">
        <v>3500</v>
      </c>
      <c r="C30" s="501" t="s">
        <v>819</v>
      </c>
      <c r="D30" s="610"/>
      <c r="E30" s="615"/>
    </row>
    <row r="31" spans="1:11" s="607" customFormat="1" ht="24" customHeight="1" x14ac:dyDescent="0.25">
      <c r="A31" s="499" t="s">
        <v>753</v>
      </c>
      <c r="B31" s="500">
        <v>12000</v>
      </c>
      <c r="C31" s="501" t="s">
        <v>819</v>
      </c>
      <c r="D31" s="610"/>
      <c r="E31" s="615"/>
      <c r="F31" s="615"/>
      <c r="G31" s="615"/>
      <c r="H31" s="615"/>
      <c r="I31" s="615"/>
    </row>
    <row r="32" spans="1:11" ht="22.5" customHeight="1" x14ac:dyDescent="0.25">
      <c r="A32" s="545" t="s">
        <v>857</v>
      </c>
      <c r="B32" s="548">
        <v>800</v>
      </c>
      <c r="C32" s="546" t="s">
        <v>863</v>
      </c>
      <c r="D32" s="279"/>
      <c r="E32" s="3"/>
      <c r="F32" s="3"/>
      <c r="G32" s="3"/>
      <c r="H32" s="3"/>
      <c r="I32" s="3"/>
    </row>
    <row r="33" spans="1:9" ht="22.5" customHeight="1" x14ac:dyDescent="0.25">
      <c r="A33" s="545" t="s">
        <v>858</v>
      </c>
      <c r="B33" s="548">
        <v>1600</v>
      </c>
      <c r="C33" s="546" t="s">
        <v>863</v>
      </c>
      <c r="D33" s="279"/>
      <c r="E33" s="3"/>
      <c r="F33" s="3"/>
      <c r="G33" s="3"/>
      <c r="H33" s="3"/>
      <c r="I33" s="3"/>
    </row>
    <row r="34" spans="1:9" ht="22.5" customHeight="1" x14ac:dyDescent="0.25">
      <c r="A34" s="545" t="s">
        <v>859</v>
      </c>
      <c r="B34" s="548">
        <v>63000</v>
      </c>
      <c r="C34" s="546" t="s">
        <v>864</v>
      </c>
      <c r="D34" s="279" t="s">
        <v>887</v>
      </c>
      <c r="E34" s="3"/>
      <c r="F34" s="3"/>
      <c r="G34" s="3"/>
      <c r="H34" s="3"/>
      <c r="I34" s="3"/>
    </row>
    <row r="35" spans="1:9" ht="22.5" customHeight="1" x14ac:dyDescent="0.25">
      <c r="A35" s="499" t="s">
        <v>759</v>
      </c>
      <c r="B35" s="500">
        <v>25000</v>
      </c>
      <c r="C35" s="501" t="s">
        <v>862</v>
      </c>
      <c r="D35" s="675" t="s">
        <v>396</v>
      </c>
    </row>
    <row r="36" spans="1:9" ht="22.5" customHeight="1" x14ac:dyDescent="0.25">
      <c r="A36" s="499" t="s">
        <v>709</v>
      </c>
      <c r="B36" s="500">
        <v>27067</v>
      </c>
      <c r="C36" s="501" t="s">
        <v>863</v>
      </c>
      <c r="D36" s="670" t="s">
        <v>876</v>
      </c>
    </row>
    <row r="37" spans="1:9" ht="22.5" customHeight="1" x14ac:dyDescent="0.25">
      <c r="A37" s="499" t="s">
        <v>709</v>
      </c>
      <c r="B37" s="500">
        <v>10000</v>
      </c>
      <c r="C37" s="501" t="s">
        <v>865</v>
      </c>
      <c r="D37" s="660" t="s">
        <v>871</v>
      </c>
    </row>
    <row r="38" spans="1:9" ht="22.5" customHeight="1" x14ac:dyDescent="0.25">
      <c r="A38" s="499" t="s">
        <v>759</v>
      </c>
      <c r="B38" s="500">
        <v>15000</v>
      </c>
      <c r="C38" s="501" t="s">
        <v>866</v>
      </c>
      <c r="D38" s="279" t="s">
        <v>914</v>
      </c>
    </row>
    <row r="39" spans="1:9" ht="22.5" customHeight="1" x14ac:dyDescent="0.25">
      <c r="A39" s="499" t="s">
        <v>759</v>
      </c>
      <c r="B39" s="500">
        <v>38000</v>
      </c>
      <c r="C39" s="501" t="s">
        <v>867</v>
      </c>
      <c r="D39" s="279"/>
    </row>
    <row r="40" spans="1:9" ht="22.5" customHeight="1" x14ac:dyDescent="0.25">
      <c r="A40" s="499" t="s">
        <v>709</v>
      </c>
      <c r="B40" s="500">
        <v>4000</v>
      </c>
      <c r="C40" s="501" t="s">
        <v>868</v>
      </c>
      <c r="D40" s="279" t="s">
        <v>914</v>
      </c>
    </row>
    <row r="41" spans="1:9" ht="22.5" customHeight="1" x14ac:dyDescent="0.25">
      <c r="A41" s="499" t="s">
        <v>709</v>
      </c>
      <c r="B41" s="500">
        <v>5000</v>
      </c>
      <c r="C41" s="501" t="s">
        <v>868</v>
      </c>
      <c r="D41" s="279" t="s">
        <v>914</v>
      </c>
    </row>
    <row r="42" spans="1:9" ht="22.5" customHeight="1" x14ac:dyDescent="0.25">
      <c r="A42" s="499" t="s">
        <v>759</v>
      </c>
      <c r="B42" s="500">
        <v>20000</v>
      </c>
      <c r="C42" s="501" t="s">
        <v>869</v>
      </c>
      <c r="D42" s="279"/>
    </row>
    <row r="43" spans="1:9" ht="22.5" customHeight="1" x14ac:dyDescent="0.25">
      <c r="A43" s="499" t="s">
        <v>12</v>
      </c>
      <c r="B43" s="504">
        <f>SUM(B25:B42)</f>
        <v>499267</v>
      </c>
      <c r="C43" s="279"/>
      <c r="D43" s="279"/>
    </row>
  </sheetData>
  <mergeCells count="13">
    <mergeCell ref="A14:D14"/>
    <mergeCell ref="A23:D23"/>
    <mergeCell ref="A1:F1"/>
    <mergeCell ref="H1:I1"/>
    <mergeCell ref="A2:A3"/>
    <mergeCell ref="B2:B3"/>
    <mergeCell ref="C2:D2"/>
    <mergeCell ref="E2:E3"/>
    <mergeCell ref="F2:F3"/>
    <mergeCell ref="H2:H3"/>
    <mergeCell ref="I2:I3"/>
    <mergeCell ref="F14:I14"/>
    <mergeCell ref="F23:I23"/>
  </mergeCells>
  <pageMargins left="0.45" right="0.45" top="0.25" bottom="0" header="0.3" footer="0"/>
  <pageSetup paperSize="9" scale="54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topLeftCell="A35" zoomScaleNormal="100" workbookViewId="0">
      <selection activeCell="A43" sqref="A43"/>
    </sheetView>
  </sheetViews>
  <sheetFormatPr defaultRowHeight="15" x14ac:dyDescent="0.25"/>
  <cols>
    <col min="1" max="1" width="15.5703125" style="260" customWidth="1"/>
    <col min="2" max="2" width="16" style="260" customWidth="1"/>
    <col min="3" max="3" width="12.140625" style="260" customWidth="1"/>
    <col min="4" max="4" width="16.7109375" style="260" customWidth="1"/>
    <col min="5" max="5" width="18" style="260" customWidth="1"/>
    <col min="6" max="6" width="27.42578125" style="260" customWidth="1"/>
    <col min="7" max="7" width="21.5703125" style="260" customWidth="1"/>
    <col min="8" max="9" width="14.5703125" style="260" customWidth="1"/>
    <col min="10" max="16384" width="9.140625" style="260"/>
  </cols>
  <sheetData>
    <row r="1" spans="1:11" ht="31.5" customHeight="1" x14ac:dyDescent="0.25">
      <c r="A1" s="744" t="s">
        <v>835</v>
      </c>
      <c r="B1" s="744"/>
      <c r="C1" s="744"/>
      <c r="D1" s="744"/>
      <c r="E1" s="744"/>
      <c r="F1" s="744"/>
      <c r="H1" s="745" t="s">
        <v>834</v>
      </c>
      <c r="I1" s="745"/>
    </row>
    <row r="2" spans="1:11" ht="19.5" customHeight="1" x14ac:dyDescent="0.25">
      <c r="A2" s="746" t="s">
        <v>7</v>
      </c>
      <c r="B2" s="746" t="s">
        <v>47</v>
      </c>
      <c r="C2" s="746" t="s">
        <v>199</v>
      </c>
      <c r="D2" s="746"/>
      <c r="E2" s="747" t="s">
        <v>32</v>
      </c>
      <c r="F2" s="746" t="s">
        <v>591</v>
      </c>
      <c r="G2" s="601"/>
      <c r="H2" s="746" t="s">
        <v>7</v>
      </c>
      <c r="I2" s="746" t="s">
        <v>47</v>
      </c>
    </row>
    <row r="3" spans="1:11" ht="19.5" customHeight="1" x14ac:dyDescent="0.25">
      <c r="A3" s="746"/>
      <c r="B3" s="746"/>
      <c r="C3" s="602" t="s">
        <v>5</v>
      </c>
      <c r="D3" s="602" t="s">
        <v>152</v>
      </c>
      <c r="E3" s="748"/>
      <c r="F3" s="746"/>
      <c r="G3" s="601"/>
      <c r="H3" s="746"/>
      <c r="I3" s="746"/>
    </row>
    <row r="4" spans="1:11" s="607" customFormat="1" ht="24" customHeight="1" x14ac:dyDescent="0.25">
      <c r="A4" s="603" t="s">
        <v>11</v>
      </c>
      <c r="B4" s="604">
        <v>1198919</v>
      </c>
      <c r="C4" s="604">
        <v>126576</v>
      </c>
      <c r="D4" s="604">
        <v>413605</v>
      </c>
      <c r="E4" s="605">
        <f>+B4-(C4+D4)</f>
        <v>658738</v>
      </c>
      <c r="F4" s="606"/>
      <c r="H4" s="603" t="s">
        <v>11</v>
      </c>
      <c r="I4" s="604">
        <v>1198919</v>
      </c>
    </row>
    <row r="5" spans="1:11" s="607" customFormat="1" ht="24" customHeight="1" x14ac:dyDescent="0.25">
      <c r="A5" s="603" t="s">
        <v>17</v>
      </c>
      <c r="B5" s="603">
        <v>244814</v>
      </c>
      <c r="C5" s="603">
        <v>109246</v>
      </c>
      <c r="D5" s="603">
        <v>85866</v>
      </c>
      <c r="E5" s="605">
        <f t="shared" ref="E5:E10" si="0">+B5-(C5+D5)</f>
        <v>49702</v>
      </c>
      <c r="F5" s="608"/>
      <c r="H5" s="603" t="s">
        <v>17</v>
      </c>
      <c r="I5" s="603">
        <v>221024</v>
      </c>
    </row>
    <row r="6" spans="1:11" s="607" customFormat="1" ht="24" customHeight="1" x14ac:dyDescent="0.25">
      <c r="A6" s="603" t="s">
        <v>24</v>
      </c>
      <c r="B6" s="604">
        <v>95680</v>
      </c>
      <c r="C6" s="604">
        <v>95680</v>
      </c>
      <c r="D6" s="604"/>
      <c r="E6" s="605">
        <f t="shared" si="0"/>
        <v>0</v>
      </c>
      <c r="F6" s="608"/>
      <c r="H6" s="603" t="s">
        <v>24</v>
      </c>
      <c r="I6" s="604">
        <v>95680</v>
      </c>
    </row>
    <row r="7" spans="1:11" s="607" customFormat="1" ht="24" customHeight="1" x14ac:dyDescent="0.25">
      <c r="A7" s="603" t="s">
        <v>42</v>
      </c>
      <c r="B7" s="603">
        <v>401200</v>
      </c>
      <c r="C7" s="603">
        <v>250400</v>
      </c>
      <c r="D7" s="603"/>
      <c r="E7" s="605">
        <f t="shared" si="0"/>
        <v>150800</v>
      </c>
      <c r="F7" s="609"/>
      <c r="H7" s="603" t="s">
        <v>42</v>
      </c>
      <c r="I7" s="603">
        <v>401200</v>
      </c>
    </row>
    <row r="8" spans="1:11" s="607" customFormat="1" ht="24" customHeight="1" x14ac:dyDescent="0.25">
      <c r="A8" s="603" t="s">
        <v>29</v>
      </c>
      <c r="B8" s="603">
        <v>17769</v>
      </c>
      <c r="C8" s="603">
        <v>17769</v>
      </c>
      <c r="D8" s="603"/>
      <c r="E8" s="605">
        <f t="shared" si="0"/>
        <v>0</v>
      </c>
      <c r="F8" s="610"/>
      <c r="H8" s="603" t="s">
        <v>29</v>
      </c>
      <c r="I8" s="603">
        <v>17769</v>
      </c>
    </row>
    <row r="9" spans="1:11" s="607" customFormat="1" ht="24" customHeight="1" x14ac:dyDescent="0.25">
      <c r="A9" s="603" t="s">
        <v>260</v>
      </c>
      <c r="B9" s="603">
        <v>5000</v>
      </c>
      <c r="C9" s="603"/>
      <c r="D9" s="603">
        <v>5000</v>
      </c>
      <c r="E9" s="605">
        <f t="shared" si="0"/>
        <v>0</v>
      </c>
      <c r="F9" s="611"/>
      <c r="H9" s="603" t="s">
        <v>260</v>
      </c>
      <c r="I9" s="603">
        <v>5000</v>
      </c>
    </row>
    <row r="10" spans="1:11" s="607" customFormat="1" ht="24" customHeight="1" x14ac:dyDescent="0.25">
      <c r="A10" s="603"/>
      <c r="B10" s="603"/>
      <c r="C10" s="603"/>
      <c r="D10" s="603"/>
      <c r="E10" s="605">
        <f t="shared" si="0"/>
        <v>0</v>
      </c>
      <c r="F10" s="610"/>
      <c r="H10" s="603"/>
      <c r="I10" s="603"/>
    </row>
    <row r="11" spans="1:11" s="607" customFormat="1" ht="24" customHeight="1" x14ac:dyDescent="0.25">
      <c r="A11" s="600" t="s">
        <v>12</v>
      </c>
      <c r="B11" s="612">
        <f>SUM(B4:B10)</f>
        <v>1963382</v>
      </c>
      <c r="C11" s="612">
        <f>SUM(C4:C10)</f>
        <v>599671</v>
      </c>
      <c r="D11" s="612">
        <f>SUM(D4:D10)</f>
        <v>504471</v>
      </c>
      <c r="E11" s="613">
        <f>SUM(E4:E10)</f>
        <v>859240</v>
      </c>
      <c r="F11" s="614">
        <f>+C11+D11</f>
        <v>1104142</v>
      </c>
      <c r="H11" s="600" t="s">
        <v>12</v>
      </c>
      <c r="I11" s="612">
        <f>SUM(I4:I10)</f>
        <v>1939592</v>
      </c>
    </row>
    <row r="12" spans="1:11" s="607" customFormat="1" ht="24" customHeight="1" x14ac:dyDescent="0.25"/>
    <row r="13" spans="1:11" s="607" customFormat="1" ht="24" customHeight="1" x14ac:dyDescent="0.25">
      <c r="A13" s="615"/>
      <c r="B13" s="616"/>
      <c r="C13" s="617"/>
      <c r="D13" s="616"/>
      <c r="E13" s="618"/>
      <c r="G13" s="616"/>
      <c r="H13" s="616"/>
      <c r="I13" s="616"/>
      <c r="J13" s="616"/>
      <c r="K13" s="618"/>
    </row>
    <row r="14" spans="1:11" s="607" customFormat="1" ht="24" customHeight="1" x14ac:dyDescent="0.25">
      <c r="A14" s="742" t="s">
        <v>476</v>
      </c>
      <c r="B14" s="742"/>
      <c r="C14" s="742"/>
      <c r="D14" s="742"/>
      <c r="E14" s="618"/>
      <c r="F14" s="742" t="s">
        <v>685</v>
      </c>
      <c r="G14" s="742"/>
      <c r="H14" s="742"/>
      <c r="I14" s="742"/>
      <c r="J14" s="616"/>
      <c r="K14" s="618"/>
    </row>
    <row r="15" spans="1:11" s="607" customFormat="1" ht="24" customHeight="1" x14ac:dyDescent="0.25">
      <c r="A15" s="455" t="s">
        <v>8</v>
      </c>
      <c r="B15" s="455" t="s">
        <v>498</v>
      </c>
      <c r="C15" s="456" t="s">
        <v>499</v>
      </c>
      <c r="D15" s="455"/>
      <c r="E15" s="619"/>
      <c r="F15" s="455" t="s">
        <v>8</v>
      </c>
      <c r="G15" s="455" t="s">
        <v>498</v>
      </c>
      <c r="H15" s="456" t="s">
        <v>499</v>
      </c>
      <c r="I15" s="455"/>
      <c r="J15" s="620"/>
      <c r="K15" s="619"/>
    </row>
    <row r="16" spans="1:11" s="607" customFormat="1" ht="24" customHeight="1" x14ac:dyDescent="0.25">
      <c r="A16" s="621" t="s">
        <v>688</v>
      </c>
      <c r="B16" s="621">
        <v>50800</v>
      </c>
      <c r="C16" s="622">
        <v>42858</v>
      </c>
      <c r="D16" s="623" t="s">
        <v>800</v>
      </c>
      <c r="E16" s="615"/>
      <c r="F16" s="651" t="s">
        <v>830</v>
      </c>
      <c r="G16" s="624">
        <v>4624</v>
      </c>
      <c r="H16" s="625">
        <v>42870</v>
      </c>
      <c r="I16" s="659" t="s">
        <v>843</v>
      </c>
      <c r="J16" s="626"/>
      <c r="K16" s="615"/>
    </row>
    <row r="17" spans="1:11" s="607" customFormat="1" ht="24" customHeight="1" x14ac:dyDescent="0.25">
      <c r="A17" s="621" t="s">
        <v>671</v>
      </c>
      <c r="B17" s="621">
        <v>100000</v>
      </c>
      <c r="C17" s="622">
        <v>42860</v>
      </c>
      <c r="D17" s="623" t="s">
        <v>877</v>
      </c>
      <c r="E17" s="615"/>
      <c r="F17" s="651" t="s">
        <v>831</v>
      </c>
      <c r="G17" s="624">
        <v>5025</v>
      </c>
      <c r="H17" s="625">
        <v>42877</v>
      </c>
      <c r="I17" s="658" t="s">
        <v>843</v>
      </c>
      <c r="J17" s="626"/>
      <c r="K17" s="615"/>
    </row>
    <row r="18" spans="1:11" s="607" customFormat="1" ht="24" customHeight="1" x14ac:dyDescent="0.25">
      <c r="A18" s="621"/>
      <c r="B18" s="621"/>
      <c r="C18" s="622"/>
      <c r="D18" s="623"/>
      <c r="E18" s="615"/>
      <c r="F18" s="651" t="s">
        <v>832</v>
      </c>
      <c r="G18" s="624">
        <v>7239</v>
      </c>
      <c r="H18" s="625">
        <v>42884</v>
      </c>
      <c r="I18" s="623"/>
      <c r="J18" s="626"/>
      <c r="K18" s="615"/>
    </row>
    <row r="19" spans="1:11" s="607" customFormat="1" ht="24" customHeight="1" x14ac:dyDescent="0.25">
      <c r="A19" s="621"/>
      <c r="B19" s="621"/>
      <c r="C19" s="622"/>
      <c r="D19" s="623"/>
      <c r="E19" s="615"/>
      <c r="F19" s="651" t="s">
        <v>833</v>
      </c>
      <c r="G19" s="624">
        <v>9054</v>
      </c>
      <c r="H19" s="625">
        <v>42884</v>
      </c>
      <c r="I19" s="623" t="s">
        <v>229</v>
      </c>
      <c r="J19" s="626"/>
      <c r="K19" s="615"/>
    </row>
    <row r="20" spans="1:11" s="607" customFormat="1" ht="24" customHeight="1" x14ac:dyDescent="0.25">
      <c r="A20" s="621"/>
      <c r="B20" s="621"/>
      <c r="C20" s="622"/>
      <c r="D20" s="646"/>
      <c r="E20" s="615"/>
      <c r="F20" s="652" t="s">
        <v>839</v>
      </c>
      <c r="G20" s="624">
        <v>3560</v>
      </c>
      <c r="H20" s="625">
        <v>42856</v>
      </c>
      <c r="I20" s="646" t="s">
        <v>843</v>
      </c>
      <c r="J20" s="626"/>
      <c r="K20" s="615"/>
    </row>
    <row r="21" spans="1:11" s="607" customFormat="1" ht="24" customHeight="1" x14ac:dyDescent="0.25">
      <c r="A21" s="621"/>
      <c r="B21" s="621"/>
      <c r="C21" s="622"/>
      <c r="D21" s="653"/>
      <c r="E21" s="615"/>
      <c r="F21" s="665" t="s">
        <v>844</v>
      </c>
      <c r="G21" s="624">
        <v>20200</v>
      </c>
      <c r="H21" s="625">
        <v>42884</v>
      </c>
      <c r="I21" s="668" t="s">
        <v>843</v>
      </c>
      <c r="J21" s="626"/>
      <c r="K21" s="615"/>
    </row>
    <row r="22" spans="1:11" s="607" customFormat="1" ht="24" customHeight="1" x14ac:dyDescent="0.25">
      <c r="A22" s="621"/>
      <c r="B22" s="621"/>
      <c r="C22" s="622"/>
      <c r="D22" s="664"/>
      <c r="E22" s="615"/>
      <c r="F22" s="667" t="s">
        <v>875</v>
      </c>
      <c r="G22" s="624">
        <v>6320</v>
      </c>
      <c r="H22" s="625">
        <v>42884</v>
      </c>
      <c r="I22" s="668" t="s">
        <v>843</v>
      </c>
      <c r="J22" s="626"/>
      <c r="K22" s="615"/>
    </row>
    <row r="23" spans="1:11" s="607" customFormat="1" ht="24" customHeight="1" x14ac:dyDescent="0.25">
      <c r="A23" s="621"/>
      <c r="B23" s="621"/>
      <c r="C23" s="622"/>
      <c r="D23" s="663"/>
      <c r="E23" s="615"/>
      <c r="F23" s="666" t="s">
        <v>872</v>
      </c>
      <c r="G23" s="624">
        <v>19192</v>
      </c>
      <c r="H23" s="625">
        <v>42877</v>
      </c>
      <c r="I23" s="663" t="s">
        <v>229</v>
      </c>
      <c r="J23" s="626"/>
      <c r="K23" s="615"/>
    </row>
    <row r="24" spans="1:11" s="607" customFormat="1" ht="24" customHeight="1" x14ac:dyDescent="0.25">
      <c r="A24" s="623" t="s">
        <v>12</v>
      </c>
      <c r="B24" s="623">
        <f>SUM(B12:B17)</f>
        <v>150800</v>
      </c>
      <c r="C24" s="627"/>
      <c r="D24" s="627"/>
      <c r="E24" s="615"/>
      <c r="F24" s="624" t="s">
        <v>12</v>
      </c>
      <c r="G24" s="624">
        <f>SUM(G16:G23)</f>
        <v>75214</v>
      </c>
      <c r="H24" s="625"/>
      <c r="I24" s="623"/>
      <c r="J24" s="626"/>
      <c r="K24" s="615"/>
    </row>
    <row r="25" spans="1:11" s="607" customFormat="1" ht="24" customHeight="1" x14ac:dyDescent="0.25">
      <c r="A25" s="621"/>
      <c r="B25" s="621"/>
      <c r="C25" s="622"/>
      <c r="D25" s="623"/>
      <c r="E25" s="615"/>
      <c r="F25" s="628"/>
      <c r="G25" s="628"/>
      <c r="H25" s="629"/>
      <c r="I25" s="616"/>
      <c r="J25" s="626"/>
      <c r="K25" s="615"/>
    </row>
    <row r="26" spans="1:11" s="607" customFormat="1" ht="24" customHeight="1" x14ac:dyDescent="0.25">
      <c r="A26" s="616"/>
      <c r="B26" s="616"/>
      <c r="C26" s="630"/>
      <c r="D26" s="630"/>
      <c r="E26" s="615"/>
      <c r="F26" s="616"/>
      <c r="G26" s="616"/>
      <c r="H26" s="630"/>
      <c r="I26" s="630"/>
      <c r="J26" s="615"/>
    </row>
    <row r="27" spans="1:11" s="607" customFormat="1" ht="24" customHeight="1" x14ac:dyDescent="0.25">
      <c r="A27" s="620"/>
      <c r="B27" s="616"/>
      <c r="C27" s="630"/>
      <c r="D27" s="630"/>
      <c r="E27" s="615"/>
      <c r="F27" s="615"/>
      <c r="G27" s="615"/>
      <c r="H27" s="615"/>
      <c r="I27" s="615"/>
      <c r="J27" s="615"/>
    </row>
    <row r="28" spans="1:11" s="607" customFormat="1" ht="24" customHeight="1" x14ac:dyDescent="0.25">
      <c r="A28" s="620"/>
      <c r="B28" s="616"/>
      <c r="C28" s="630"/>
      <c r="D28" s="630"/>
      <c r="E28" s="615"/>
    </row>
    <row r="29" spans="1:11" s="607" customFormat="1" ht="24" customHeight="1" x14ac:dyDescent="0.25">
      <c r="A29" s="742" t="s">
        <v>477</v>
      </c>
      <c r="B29" s="742"/>
      <c r="C29" s="742"/>
      <c r="D29" s="742"/>
      <c r="E29" s="631"/>
      <c r="F29" s="751"/>
      <c r="G29" s="751"/>
      <c r="H29" s="751"/>
      <c r="I29" s="751"/>
    </row>
    <row r="30" spans="1:11" s="607" customFormat="1" ht="24" customHeight="1" x14ac:dyDescent="0.25">
      <c r="A30" s="455" t="s">
        <v>8</v>
      </c>
      <c r="B30" s="455" t="s">
        <v>498</v>
      </c>
      <c r="C30" s="456" t="s">
        <v>499</v>
      </c>
      <c r="D30" s="455"/>
      <c r="E30" s="631"/>
      <c r="F30" s="486"/>
      <c r="G30" s="486"/>
      <c r="H30" s="487"/>
      <c r="I30" s="486"/>
    </row>
    <row r="31" spans="1:11" s="607" customFormat="1" ht="24" customHeight="1" x14ac:dyDescent="0.25">
      <c r="A31" s="632"/>
      <c r="B31" s="633"/>
      <c r="C31" s="634"/>
      <c r="D31" s="623"/>
      <c r="E31" s="631"/>
      <c r="F31" s="628"/>
      <c r="G31" s="628"/>
      <c r="H31" s="629"/>
      <c r="I31" s="616"/>
    </row>
    <row r="32" spans="1:11" s="607" customFormat="1" ht="24" customHeight="1" x14ac:dyDescent="0.25">
      <c r="A32" s="632" t="s">
        <v>697</v>
      </c>
      <c r="B32" s="633">
        <v>57000</v>
      </c>
      <c r="C32" s="634" t="s">
        <v>809</v>
      </c>
      <c r="D32" s="623" t="s">
        <v>828</v>
      </c>
      <c r="E32" s="631"/>
      <c r="F32" s="628"/>
      <c r="G32" s="628"/>
      <c r="H32" s="629"/>
      <c r="I32" s="616"/>
    </row>
    <row r="33" spans="1:9" s="607" customFormat="1" ht="24" customHeight="1" x14ac:dyDescent="0.25">
      <c r="A33" s="632" t="s">
        <v>802</v>
      </c>
      <c r="B33" s="633">
        <v>30000</v>
      </c>
      <c r="C33" s="634" t="s">
        <v>810</v>
      </c>
      <c r="D33" s="623" t="s">
        <v>491</v>
      </c>
      <c r="E33" s="631"/>
      <c r="F33" s="628"/>
      <c r="G33" s="628"/>
      <c r="H33" s="629"/>
      <c r="I33" s="616"/>
    </row>
    <row r="34" spans="1:9" s="607" customFormat="1" ht="24" customHeight="1" x14ac:dyDescent="0.25">
      <c r="A34" s="632"/>
      <c r="B34" s="632"/>
      <c r="C34" s="634"/>
      <c r="D34" s="623"/>
      <c r="E34" s="631"/>
      <c r="F34" s="628"/>
      <c r="G34" s="628"/>
      <c r="H34" s="629"/>
      <c r="I34" s="616"/>
    </row>
    <row r="35" spans="1:9" s="607" customFormat="1" ht="24" customHeight="1" x14ac:dyDescent="0.25">
      <c r="A35" s="645" t="s">
        <v>750</v>
      </c>
      <c r="B35" s="633">
        <v>65000</v>
      </c>
      <c r="C35" s="634" t="s">
        <v>812</v>
      </c>
      <c r="D35" s="635"/>
      <c r="E35" s="631"/>
      <c r="F35" s="615"/>
      <c r="G35" s="615"/>
      <c r="H35" s="615"/>
      <c r="I35" s="615"/>
    </row>
    <row r="36" spans="1:9" s="607" customFormat="1" ht="24" customHeight="1" x14ac:dyDescent="0.25">
      <c r="A36" s="636" t="s">
        <v>753</v>
      </c>
      <c r="B36" s="637">
        <v>44000</v>
      </c>
      <c r="C36" s="638" t="s">
        <v>814</v>
      </c>
      <c r="D36" s="610"/>
      <c r="E36" s="615"/>
      <c r="F36" s="615"/>
      <c r="G36" s="615"/>
      <c r="H36" s="615"/>
      <c r="I36" s="615"/>
    </row>
    <row r="37" spans="1:9" s="607" customFormat="1" ht="24" customHeight="1" x14ac:dyDescent="0.25">
      <c r="A37" s="636" t="s">
        <v>753</v>
      </c>
      <c r="B37" s="637">
        <v>2500</v>
      </c>
      <c r="C37" s="638" t="s">
        <v>815</v>
      </c>
      <c r="D37" s="610"/>
      <c r="E37" s="615"/>
      <c r="F37" s="615"/>
      <c r="G37" s="615"/>
      <c r="H37" s="615"/>
      <c r="I37" s="615"/>
    </row>
    <row r="38" spans="1:9" s="607" customFormat="1" ht="24" customHeight="1" x14ac:dyDescent="0.25">
      <c r="A38" s="636" t="s">
        <v>753</v>
      </c>
      <c r="B38" s="637">
        <v>24000</v>
      </c>
      <c r="C38" s="638" t="s">
        <v>815</v>
      </c>
      <c r="D38" s="610"/>
      <c r="E38" s="615"/>
      <c r="F38" s="615"/>
      <c r="G38" s="615"/>
      <c r="H38" s="615"/>
      <c r="I38" s="615"/>
    </row>
    <row r="39" spans="1:9" s="607" customFormat="1" ht="24" customHeight="1" x14ac:dyDescent="0.25">
      <c r="A39" s="636" t="s">
        <v>753</v>
      </c>
      <c r="B39" s="637">
        <v>17500</v>
      </c>
      <c r="C39" s="638" t="s">
        <v>815</v>
      </c>
      <c r="D39" s="610"/>
      <c r="E39" s="615"/>
      <c r="F39" s="615"/>
      <c r="G39" s="615"/>
      <c r="H39" s="615"/>
      <c r="I39" s="615"/>
    </row>
    <row r="40" spans="1:9" s="607" customFormat="1" ht="24" customHeight="1" x14ac:dyDescent="0.25">
      <c r="A40" s="636" t="s">
        <v>514</v>
      </c>
      <c r="B40" s="637">
        <v>29000</v>
      </c>
      <c r="C40" s="638" t="s">
        <v>816</v>
      </c>
      <c r="D40" s="610"/>
      <c r="E40" s="615"/>
      <c r="F40" s="615"/>
      <c r="G40" s="615"/>
      <c r="H40" s="615"/>
      <c r="I40" s="615"/>
    </row>
    <row r="41" spans="1:9" s="607" customFormat="1" ht="24" customHeight="1" x14ac:dyDescent="0.25">
      <c r="A41" s="636" t="s">
        <v>754</v>
      </c>
      <c r="B41" s="637">
        <v>62536</v>
      </c>
      <c r="C41" s="638" t="s">
        <v>811</v>
      </c>
      <c r="D41" s="610"/>
      <c r="E41" s="615"/>
      <c r="F41" s="615"/>
      <c r="G41" s="615"/>
      <c r="H41" s="615"/>
      <c r="I41" s="615"/>
    </row>
    <row r="42" spans="1:9" s="607" customFormat="1" ht="24" customHeight="1" x14ac:dyDescent="0.25">
      <c r="A42" s="636" t="s">
        <v>803</v>
      </c>
      <c r="B42" s="637">
        <v>20000</v>
      </c>
      <c r="C42" s="638" t="s">
        <v>814</v>
      </c>
      <c r="D42" s="610"/>
      <c r="E42" s="615"/>
      <c r="F42" s="615"/>
      <c r="G42" s="615"/>
      <c r="H42" s="615"/>
      <c r="I42" s="615"/>
    </row>
    <row r="43" spans="1:9" s="607" customFormat="1" ht="24" customHeight="1" x14ac:dyDescent="0.25">
      <c r="A43" s="636" t="s">
        <v>803</v>
      </c>
      <c r="B43" s="637">
        <v>15000</v>
      </c>
      <c r="C43" s="638" t="s">
        <v>817</v>
      </c>
      <c r="D43" s="610"/>
      <c r="E43" s="615"/>
      <c r="F43" s="615"/>
      <c r="G43" s="615"/>
      <c r="H43" s="615"/>
      <c r="I43" s="615"/>
    </row>
    <row r="44" spans="1:9" s="607" customFormat="1" ht="24" customHeight="1" x14ac:dyDescent="0.25">
      <c r="A44" s="636" t="s">
        <v>804</v>
      </c>
      <c r="B44" s="637">
        <v>11000</v>
      </c>
      <c r="C44" s="638" t="s">
        <v>818</v>
      </c>
      <c r="D44" s="610"/>
      <c r="E44" s="615"/>
      <c r="F44" s="615"/>
      <c r="G44" s="615"/>
      <c r="H44" s="615"/>
      <c r="I44" s="615"/>
    </row>
    <row r="45" spans="1:9" s="607" customFormat="1" ht="24" customHeight="1" x14ac:dyDescent="0.25">
      <c r="A45" s="636" t="s">
        <v>803</v>
      </c>
      <c r="B45" s="637">
        <v>8000</v>
      </c>
      <c r="C45" s="638" t="s">
        <v>819</v>
      </c>
      <c r="D45" s="610"/>
      <c r="E45" s="615"/>
      <c r="F45" s="615"/>
      <c r="G45" s="615"/>
      <c r="H45" s="615"/>
      <c r="I45" s="615"/>
    </row>
    <row r="46" spans="1:9" s="607" customFormat="1" ht="24" customHeight="1" x14ac:dyDescent="0.25">
      <c r="A46" s="647" t="s">
        <v>805</v>
      </c>
      <c r="B46" s="648">
        <v>20000</v>
      </c>
      <c r="C46" s="649" t="s">
        <v>819</v>
      </c>
      <c r="D46" s="650" t="s">
        <v>838</v>
      </c>
      <c r="E46" s="615"/>
      <c r="F46" s="615"/>
      <c r="G46" s="615"/>
      <c r="H46" s="615"/>
      <c r="I46" s="615"/>
    </row>
    <row r="47" spans="1:9" s="607" customFormat="1" ht="24" customHeight="1" x14ac:dyDescent="0.25">
      <c r="A47" s="636" t="s">
        <v>806</v>
      </c>
      <c r="B47" s="637">
        <v>40000</v>
      </c>
      <c r="C47" s="638" t="s">
        <v>813</v>
      </c>
      <c r="D47" s="623" t="s">
        <v>829</v>
      </c>
      <c r="E47" s="615"/>
      <c r="F47" s="615"/>
      <c r="G47" s="615"/>
      <c r="H47" s="615"/>
      <c r="I47" s="615"/>
    </row>
    <row r="48" spans="1:9" s="607" customFormat="1" ht="24" customHeight="1" x14ac:dyDescent="0.25">
      <c r="A48" s="632" t="s">
        <v>807</v>
      </c>
      <c r="B48" s="633">
        <v>8084</v>
      </c>
      <c r="C48" s="634" t="s">
        <v>820</v>
      </c>
      <c r="D48" s="610" t="s">
        <v>78</v>
      </c>
      <c r="E48" s="615"/>
      <c r="F48" s="615"/>
      <c r="G48" s="615"/>
      <c r="H48" s="615"/>
      <c r="I48" s="615"/>
    </row>
    <row r="49" spans="1:9" s="607" customFormat="1" ht="24" customHeight="1" x14ac:dyDescent="0.25">
      <c r="A49" s="632" t="s">
        <v>807</v>
      </c>
      <c r="B49" s="633">
        <v>6916</v>
      </c>
      <c r="C49" s="634" t="s">
        <v>820</v>
      </c>
      <c r="D49" s="610"/>
      <c r="E49" s="615"/>
      <c r="F49" s="615"/>
      <c r="G49" s="615"/>
      <c r="H49" s="615"/>
      <c r="I49" s="615"/>
    </row>
    <row r="50" spans="1:9" s="607" customFormat="1" ht="24" customHeight="1" x14ac:dyDescent="0.25">
      <c r="A50" s="632" t="s">
        <v>709</v>
      </c>
      <c r="B50" s="633">
        <v>7000</v>
      </c>
      <c r="C50" s="634" t="s">
        <v>821</v>
      </c>
      <c r="D50" s="610"/>
      <c r="E50" s="615"/>
      <c r="F50" s="615"/>
      <c r="G50" s="615"/>
      <c r="H50" s="615"/>
      <c r="I50" s="615"/>
    </row>
    <row r="51" spans="1:9" s="607" customFormat="1" ht="24" customHeight="1" x14ac:dyDescent="0.25">
      <c r="A51" s="632" t="s">
        <v>759</v>
      </c>
      <c r="B51" s="633">
        <v>13000</v>
      </c>
      <c r="C51" s="634" t="s">
        <v>822</v>
      </c>
      <c r="D51" s="610"/>
      <c r="E51" s="615"/>
      <c r="F51" s="615"/>
      <c r="G51" s="615"/>
      <c r="H51" s="615"/>
      <c r="I51" s="615"/>
    </row>
    <row r="52" spans="1:9" s="607" customFormat="1" ht="24" customHeight="1" x14ac:dyDescent="0.25">
      <c r="A52" s="632" t="s">
        <v>709</v>
      </c>
      <c r="B52" s="633">
        <v>5000</v>
      </c>
      <c r="C52" s="634" t="s">
        <v>823</v>
      </c>
      <c r="D52" s="610"/>
      <c r="E52" s="615"/>
      <c r="F52" s="615"/>
      <c r="G52" s="615"/>
      <c r="H52" s="615"/>
      <c r="I52" s="615"/>
    </row>
    <row r="53" spans="1:9" s="607" customFormat="1" ht="24" customHeight="1" x14ac:dyDescent="0.25">
      <c r="A53" s="632" t="s">
        <v>759</v>
      </c>
      <c r="B53" s="633">
        <v>6000</v>
      </c>
      <c r="C53" s="634" t="s">
        <v>823</v>
      </c>
      <c r="D53" s="610"/>
      <c r="E53" s="615"/>
      <c r="F53" s="615"/>
      <c r="G53" s="615"/>
      <c r="H53" s="615"/>
      <c r="I53" s="615"/>
    </row>
    <row r="54" spans="1:9" s="607" customFormat="1" ht="24" customHeight="1" x14ac:dyDescent="0.25">
      <c r="A54" s="632" t="s">
        <v>709</v>
      </c>
      <c r="B54" s="633">
        <v>11000</v>
      </c>
      <c r="C54" s="634" t="s">
        <v>824</v>
      </c>
      <c r="D54" s="610"/>
      <c r="E54" s="615"/>
      <c r="F54" s="615"/>
      <c r="G54" s="615"/>
      <c r="H54" s="615"/>
      <c r="I54" s="615"/>
    </row>
    <row r="55" spans="1:9" s="607" customFormat="1" ht="24" customHeight="1" x14ac:dyDescent="0.25">
      <c r="A55" s="632" t="s">
        <v>759</v>
      </c>
      <c r="B55" s="633">
        <v>30000</v>
      </c>
      <c r="C55" s="634" t="s">
        <v>824</v>
      </c>
      <c r="D55" s="610"/>
      <c r="E55" s="615"/>
      <c r="F55" s="615"/>
      <c r="G55" s="615"/>
      <c r="H55" s="615"/>
      <c r="I55" s="615"/>
    </row>
    <row r="56" spans="1:9" s="607" customFormat="1" ht="24" customHeight="1" x14ac:dyDescent="0.25">
      <c r="A56" s="632" t="s">
        <v>808</v>
      </c>
      <c r="B56" s="633">
        <v>902</v>
      </c>
      <c r="C56" s="634" t="s">
        <v>825</v>
      </c>
      <c r="D56" s="610"/>
      <c r="E56" s="615"/>
      <c r="F56" s="615"/>
      <c r="G56" s="615"/>
      <c r="H56" s="615"/>
      <c r="I56" s="615"/>
    </row>
    <row r="57" spans="1:9" s="607" customFormat="1" ht="24" customHeight="1" x14ac:dyDescent="0.25">
      <c r="A57" s="632" t="s">
        <v>759</v>
      </c>
      <c r="B57" s="633">
        <v>1800</v>
      </c>
      <c r="C57" s="634" t="s">
        <v>825</v>
      </c>
      <c r="D57" s="610"/>
      <c r="E57" s="615"/>
      <c r="F57" s="615"/>
      <c r="G57" s="615"/>
      <c r="H57" s="615"/>
      <c r="I57" s="615"/>
    </row>
    <row r="58" spans="1:9" s="607" customFormat="1" ht="24" customHeight="1" x14ac:dyDescent="0.25">
      <c r="A58" s="632" t="s">
        <v>759</v>
      </c>
      <c r="B58" s="633">
        <v>55200</v>
      </c>
      <c r="C58" s="634" t="s">
        <v>825</v>
      </c>
      <c r="D58" s="610"/>
      <c r="E58" s="615"/>
      <c r="F58" s="615"/>
      <c r="G58" s="615"/>
      <c r="H58" s="615"/>
      <c r="I58" s="615"/>
    </row>
    <row r="59" spans="1:9" s="607" customFormat="1" ht="24" customHeight="1" x14ac:dyDescent="0.25">
      <c r="A59" s="632" t="s">
        <v>709</v>
      </c>
      <c r="B59" s="633">
        <v>19000</v>
      </c>
      <c r="C59" s="634" t="s">
        <v>826</v>
      </c>
      <c r="D59" s="610"/>
      <c r="E59" s="615"/>
      <c r="F59" s="615"/>
      <c r="G59" s="615"/>
      <c r="H59" s="615"/>
      <c r="I59" s="615"/>
    </row>
    <row r="60" spans="1:9" s="607" customFormat="1" ht="24" customHeight="1" x14ac:dyDescent="0.25">
      <c r="A60" s="632" t="s">
        <v>759</v>
      </c>
      <c r="B60" s="633">
        <v>38800</v>
      </c>
      <c r="C60" s="634" t="s">
        <v>827</v>
      </c>
      <c r="D60" s="610"/>
      <c r="E60" s="615"/>
      <c r="F60" s="615"/>
      <c r="G60" s="615"/>
      <c r="H60" s="615"/>
      <c r="I60" s="615"/>
    </row>
    <row r="61" spans="1:9" s="607" customFormat="1" ht="24" customHeight="1" x14ac:dyDescent="0.25">
      <c r="A61" s="632"/>
      <c r="B61" s="633"/>
      <c r="C61" s="634"/>
      <c r="D61" s="610"/>
      <c r="E61" s="615"/>
      <c r="F61" s="615"/>
      <c r="G61" s="615"/>
      <c r="H61" s="615"/>
      <c r="I61" s="615"/>
    </row>
    <row r="62" spans="1:9" s="607" customFormat="1" ht="24" customHeight="1" x14ac:dyDescent="0.25">
      <c r="A62" s="639" t="s">
        <v>12</v>
      </c>
      <c r="B62" s="640">
        <f>SUM(B32:B60)</f>
        <v>648238</v>
      </c>
      <c r="C62" s="610"/>
      <c r="D62" s="610"/>
      <c r="E62" s="615"/>
      <c r="F62" s="615"/>
      <c r="G62" s="615"/>
      <c r="H62" s="615"/>
      <c r="I62" s="615"/>
    </row>
    <row r="63" spans="1:9" x14ac:dyDescent="0.25">
      <c r="E63" s="3"/>
      <c r="F63" s="3"/>
      <c r="G63" s="3"/>
      <c r="H63" s="3"/>
      <c r="I63" s="3"/>
    </row>
    <row r="64" spans="1:9" x14ac:dyDescent="0.25">
      <c r="E64" s="3"/>
      <c r="F64" s="3"/>
      <c r="G64" s="3"/>
      <c r="H64" s="3"/>
      <c r="I64" s="3"/>
    </row>
    <row r="65" spans="5:9" x14ac:dyDescent="0.25">
      <c r="E65" s="3"/>
      <c r="F65" s="3"/>
      <c r="G65" s="3"/>
      <c r="H65" s="3"/>
      <c r="I65" s="3"/>
    </row>
  </sheetData>
  <mergeCells count="13">
    <mergeCell ref="A14:D14"/>
    <mergeCell ref="F14:I14"/>
    <mergeCell ref="A29:D29"/>
    <mergeCell ref="F29:I29"/>
    <mergeCell ref="A1:F1"/>
    <mergeCell ref="H1:I1"/>
    <mergeCell ref="A2:A3"/>
    <mergeCell ref="B2:B3"/>
    <mergeCell ref="C2:D2"/>
    <mergeCell ref="E2:E3"/>
    <mergeCell ref="F2:F3"/>
    <mergeCell ref="H2:H3"/>
    <mergeCell ref="I2:I3"/>
  </mergeCells>
  <pageMargins left="0.45" right="0.45" top="0.25" bottom="0" header="0.3" footer="0"/>
  <pageSetup paperSize="9" scale="54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Views>
    <sheetView topLeftCell="A38" zoomScaleNormal="100" workbookViewId="0">
      <selection activeCell="B59" sqref="B59"/>
    </sheetView>
  </sheetViews>
  <sheetFormatPr defaultRowHeight="15" x14ac:dyDescent="0.25"/>
  <cols>
    <col min="1" max="1" width="15.5703125" style="260" customWidth="1"/>
    <col min="2" max="2" width="16" style="260" customWidth="1"/>
    <col min="3" max="3" width="12.140625" style="260" customWidth="1"/>
    <col min="4" max="4" width="16.7109375" style="260" customWidth="1"/>
    <col min="5" max="5" width="18" style="260" customWidth="1"/>
    <col min="6" max="6" width="27.42578125" style="260" customWidth="1"/>
    <col min="7" max="7" width="21.5703125" style="260" customWidth="1"/>
    <col min="8" max="9" width="14.5703125" style="260" customWidth="1"/>
    <col min="10" max="16384" width="9.140625" style="260"/>
  </cols>
  <sheetData>
    <row r="1" spans="1:11" ht="31.5" customHeight="1" x14ac:dyDescent="0.25">
      <c r="A1" s="744" t="s">
        <v>780</v>
      </c>
      <c r="B1" s="744"/>
      <c r="C1" s="744"/>
      <c r="D1" s="744"/>
      <c r="E1" s="744"/>
      <c r="F1" s="744"/>
      <c r="H1" s="745" t="s">
        <v>781</v>
      </c>
      <c r="I1" s="745"/>
    </row>
    <row r="2" spans="1:11" ht="19.5" customHeight="1" x14ac:dyDescent="0.25">
      <c r="A2" s="754" t="s">
        <v>7</v>
      </c>
      <c r="B2" s="754" t="s">
        <v>47</v>
      </c>
      <c r="C2" s="754" t="s">
        <v>199</v>
      </c>
      <c r="D2" s="754"/>
      <c r="E2" s="755" t="s">
        <v>32</v>
      </c>
      <c r="F2" s="754" t="s">
        <v>591</v>
      </c>
      <c r="H2" s="754" t="s">
        <v>7</v>
      </c>
      <c r="I2" s="754" t="s">
        <v>47</v>
      </c>
    </row>
    <row r="3" spans="1:11" ht="19.5" customHeight="1" x14ac:dyDescent="0.25">
      <c r="A3" s="754"/>
      <c r="B3" s="754"/>
      <c r="C3" s="575" t="s">
        <v>5</v>
      </c>
      <c r="D3" s="575" t="s">
        <v>152</v>
      </c>
      <c r="E3" s="756"/>
      <c r="F3" s="754"/>
      <c r="H3" s="754"/>
      <c r="I3" s="754"/>
    </row>
    <row r="4" spans="1:11" ht="17.25" customHeight="1" x14ac:dyDescent="0.25">
      <c r="A4" s="262" t="s">
        <v>11</v>
      </c>
      <c r="B4" s="264">
        <v>1589003</v>
      </c>
      <c r="C4" s="264">
        <v>110863</v>
      </c>
      <c r="D4" s="264">
        <v>455548</v>
      </c>
      <c r="E4" s="221">
        <f>+B4-(C4+D4)</f>
        <v>1022592</v>
      </c>
      <c r="F4" s="235"/>
      <c r="H4" s="262" t="s">
        <v>11</v>
      </c>
      <c r="I4" s="264">
        <v>1589003</v>
      </c>
    </row>
    <row r="5" spans="1:11" ht="17.25" customHeight="1" x14ac:dyDescent="0.25">
      <c r="A5" s="262" t="s">
        <v>17</v>
      </c>
      <c r="B5" s="262">
        <v>113457</v>
      </c>
      <c r="C5" s="262">
        <v>57809</v>
      </c>
      <c r="D5" s="262">
        <v>41648</v>
      </c>
      <c r="E5" s="221">
        <f t="shared" ref="E5:E10" si="0">+B5-(C5+D5)</f>
        <v>14000</v>
      </c>
      <c r="F5" s="36"/>
      <c r="H5" s="262" t="s">
        <v>17</v>
      </c>
      <c r="I5" s="262">
        <v>113457</v>
      </c>
    </row>
    <row r="6" spans="1:11" ht="17.25" customHeight="1" x14ac:dyDescent="0.25">
      <c r="A6" s="262" t="s">
        <v>24</v>
      </c>
      <c r="B6" s="264">
        <v>217273</v>
      </c>
      <c r="C6" s="264">
        <v>161552</v>
      </c>
      <c r="D6" s="264"/>
      <c r="E6" s="221">
        <f t="shared" si="0"/>
        <v>55721</v>
      </c>
      <c r="F6" s="36"/>
      <c r="H6" s="262" t="s">
        <v>24</v>
      </c>
      <c r="I6" s="264">
        <v>189273</v>
      </c>
    </row>
    <row r="7" spans="1:11" ht="17.25" customHeight="1" x14ac:dyDescent="0.25">
      <c r="A7" s="262" t="s">
        <v>42</v>
      </c>
      <c r="B7" s="262">
        <v>486393</v>
      </c>
      <c r="C7" s="262">
        <v>360512</v>
      </c>
      <c r="D7" s="262"/>
      <c r="E7" s="221">
        <f t="shared" si="0"/>
        <v>125881</v>
      </c>
      <c r="F7" s="37"/>
      <c r="H7" s="262" t="s">
        <v>42</v>
      </c>
      <c r="I7" s="262">
        <v>617705</v>
      </c>
    </row>
    <row r="8" spans="1:11" ht="17.25" customHeight="1" x14ac:dyDescent="0.25">
      <c r="A8" s="262" t="s">
        <v>29</v>
      </c>
      <c r="B8" s="262">
        <v>42043</v>
      </c>
      <c r="C8" s="262">
        <v>42043</v>
      </c>
      <c r="D8" s="262"/>
      <c r="E8" s="221">
        <f t="shared" si="0"/>
        <v>0</v>
      </c>
      <c r="F8" s="248"/>
      <c r="H8" s="262" t="s">
        <v>29</v>
      </c>
      <c r="I8" s="262">
        <v>37043</v>
      </c>
    </row>
    <row r="9" spans="1:11" ht="17.25" customHeight="1" x14ac:dyDescent="0.25">
      <c r="A9" s="262" t="s">
        <v>260</v>
      </c>
      <c r="B9" s="262"/>
      <c r="C9" s="262"/>
      <c r="D9" s="262"/>
      <c r="E9" s="221">
        <f t="shared" si="0"/>
        <v>0</v>
      </c>
      <c r="F9" s="251"/>
      <c r="H9" s="262" t="s">
        <v>260</v>
      </c>
      <c r="I9" s="262"/>
    </row>
    <row r="10" spans="1:11" ht="17.25" customHeight="1" x14ac:dyDescent="0.25">
      <c r="A10" s="262"/>
      <c r="B10" s="262"/>
      <c r="C10" s="262"/>
      <c r="D10" s="262"/>
      <c r="E10" s="221">
        <f t="shared" si="0"/>
        <v>0</v>
      </c>
      <c r="F10" s="248"/>
      <c r="H10" s="262"/>
      <c r="I10" s="262"/>
    </row>
    <row r="11" spans="1:11" ht="17.25" customHeight="1" x14ac:dyDescent="0.25">
      <c r="A11" s="575" t="s">
        <v>12</v>
      </c>
      <c r="B11" s="250">
        <f>SUM(B4:B10)</f>
        <v>2448169</v>
      </c>
      <c r="C11" s="250">
        <f>SUM(C4:C10)</f>
        <v>732779</v>
      </c>
      <c r="D11" s="250">
        <f>SUM(D4:D10)</f>
        <v>497196</v>
      </c>
      <c r="E11" s="162">
        <f>SUM(E4:E10)</f>
        <v>1218194</v>
      </c>
      <c r="F11" s="505">
        <f>+C11+D11</f>
        <v>1229975</v>
      </c>
      <c r="H11" s="597" t="s">
        <v>12</v>
      </c>
      <c r="I11" s="250">
        <f>SUM(I4:I10)</f>
        <v>2546481</v>
      </c>
    </row>
    <row r="12" spans="1:11" ht="17.25" customHeight="1" x14ac:dyDescent="0.25"/>
    <row r="13" spans="1:11" ht="17.25" customHeight="1" x14ac:dyDescent="0.25">
      <c r="A13" s="3"/>
      <c r="B13" s="576"/>
      <c r="C13" s="325"/>
      <c r="D13" s="576"/>
      <c r="E13" s="577"/>
      <c r="G13" s="576"/>
      <c r="H13" s="576"/>
      <c r="I13" s="576"/>
      <c r="J13" s="576"/>
      <c r="K13" s="577"/>
    </row>
    <row r="14" spans="1:11" ht="17.25" customHeight="1" x14ac:dyDescent="0.25">
      <c r="A14" s="752" t="s">
        <v>476</v>
      </c>
      <c r="B14" s="752"/>
      <c r="C14" s="752"/>
      <c r="D14" s="752"/>
      <c r="E14" s="577"/>
      <c r="F14" s="752" t="s">
        <v>496</v>
      </c>
      <c r="G14" s="752"/>
      <c r="H14" s="752"/>
      <c r="I14" s="752"/>
      <c r="J14" s="576"/>
      <c r="K14" s="577"/>
    </row>
    <row r="15" spans="1:11" ht="17.25" customHeight="1" x14ac:dyDescent="0.25">
      <c r="A15" s="455" t="s">
        <v>8</v>
      </c>
      <c r="B15" s="455" t="s">
        <v>498</v>
      </c>
      <c r="C15" s="456" t="s">
        <v>499</v>
      </c>
      <c r="D15" s="455"/>
      <c r="E15" s="316"/>
      <c r="F15" s="455" t="s">
        <v>8</v>
      </c>
      <c r="G15" s="455" t="s">
        <v>498</v>
      </c>
      <c r="H15" s="456" t="s">
        <v>499</v>
      </c>
      <c r="I15" s="455"/>
      <c r="J15" s="322"/>
      <c r="K15" s="316"/>
    </row>
    <row r="16" spans="1:11" ht="17.25" customHeight="1" x14ac:dyDescent="0.25">
      <c r="A16" s="13"/>
      <c r="B16" s="13"/>
      <c r="C16" s="439"/>
      <c r="D16" s="574"/>
      <c r="E16" s="3"/>
      <c r="F16" s="595"/>
      <c r="G16" s="13"/>
      <c r="H16" s="439"/>
      <c r="I16" s="593"/>
      <c r="J16" s="2"/>
      <c r="K16" s="3"/>
    </row>
    <row r="17" spans="1:11" ht="17.25" customHeight="1" x14ac:dyDescent="0.3">
      <c r="A17" s="13" t="s">
        <v>474</v>
      </c>
      <c r="B17" s="471">
        <v>12793</v>
      </c>
      <c r="C17" s="439">
        <v>42827</v>
      </c>
      <c r="D17" s="574"/>
      <c r="E17" s="3"/>
      <c r="F17" s="596" t="s">
        <v>798</v>
      </c>
      <c r="G17" s="13">
        <v>4000</v>
      </c>
      <c r="H17" s="439">
        <v>42863</v>
      </c>
      <c r="I17" s="593" t="s">
        <v>229</v>
      </c>
      <c r="J17" s="2"/>
      <c r="K17" s="3"/>
    </row>
    <row r="18" spans="1:11" ht="17.25" customHeight="1" x14ac:dyDescent="0.25">
      <c r="A18" s="471"/>
      <c r="B18" s="471"/>
      <c r="C18" s="472"/>
      <c r="D18" s="574"/>
      <c r="E18" s="3"/>
      <c r="F18" s="13" t="s">
        <v>12</v>
      </c>
      <c r="G18" s="13">
        <f>SUM(G16:G17)</f>
        <v>4000</v>
      </c>
      <c r="H18" s="439"/>
      <c r="I18" s="593"/>
      <c r="J18" s="2"/>
      <c r="K18" s="3"/>
    </row>
    <row r="19" spans="1:11" ht="17.25" customHeight="1" x14ac:dyDescent="0.25">
      <c r="A19" s="471" t="s">
        <v>782</v>
      </c>
      <c r="B19" s="471">
        <v>59000</v>
      </c>
      <c r="C19" s="472">
        <v>42830</v>
      </c>
      <c r="D19" s="583"/>
      <c r="E19" s="3"/>
      <c r="F19" s="6"/>
      <c r="G19" s="6"/>
      <c r="H19" s="488"/>
      <c r="I19" s="584"/>
      <c r="J19" s="2"/>
      <c r="K19" s="3"/>
    </row>
    <row r="20" spans="1:11" ht="17.25" customHeight="1" x14ac:dyDescent="0.25">
      <c r="A20" s="471" t="s">
        <v>782</v>
      </c>
      <c r="B20" s="471">
        <v>50300</v>
      </c>
      <c r="C20" s="472">
        <v>42830</v>
      </c>
      <c r="D20" s="583" t="s">
        <v>783</v>
      </c>
      <c r="E20" s="3"/>
      <c r="F20" s="6"/>
      <c r="G20" s="6"/>
      <c r="H20" s="488"/>
      <c r="I20" s="584"/>
      <c r="J20" s="2"/>
      <c r="K20" s="3"/>
    </row>
    <row r="21" spans="1:11" ht="17.25" customHeight="1" x14ac:dyDescent="0.25">
      <c r="A21" s="471" t="s">
        <v>784</v>
      </c>
      <c r="B21" s="471">
        <v>27700</v>
      </c>
      <c r="C21" s="472">
        <v>42830</v>
      </c>
      <c r="D21" s="583" t="s">
        <v>359</v>
      </c>
      <c r="E21" s="3"/>
      <c r="F21" s="6"/>
      <c r="G21" s="6"/>
      <c r="H21" s="488"/>
      <c r="I21" s="2"/>
      <c r="J21" s="2"/>
      <c r="K21" s="3"/>
    </row>
    <row r="22" spans="1:11" ht="17.25" customHeight="1" x14ac:dyDescent="0.25">
      <c r="A22" s="442" t="s">
        <v>12</v>
      </c>
      <c r="B22" s="442">
        <f>SUM(B15:B21)</f>
        <v>149793</v>
      </c>
      <c r="C22" s="438"/>
      <c r="D22" s="438"/>
      <c r="E22" s="3"/>
      <c r="F22" s="489"/>
      <c r="G22" s="489"/>
      <c r="H22" s="454"/>
      <c r="I22" s="454"/>
      <c r="J22" s="3"/>
    </row>
    <row r="23" spans="1:11" ht="17.25" customHeight="1" x14ac:dyDescent="0.25">
      <c r="A23" s="489"/>
      <c r="B23" s="489"/>
      <c r="C23" s="454"/>
      <c r="D23" s="454"/>
      <c r="E23" s="3"/>
      <c r="F23" s="489"/>
      <c r="G23" s="489"/>
      <c r="H23" s="454"/>
      <c r="I23" s="454"/>
      <c r="J23" s="3"/>
    </row>
    <row r="24" spans="1:11" ht="17.25" customHeight="1" x14ac:dyDescent="0.25">
      <c r="A24" s="322"/>
      <c r="B24" s="576"/>
      <c r="C24" s="454"/>
      <c r="D24" s="454"/>
      <c r="E24" s="3"/>
      <c r="F24" s="3"/>
      <c r="G24" s="3"/>
      <c r="H24" s="3"/>
      <c r="I24" s="3"/>
      <c r="J24" s="3"/>
    </row>
    <row r="25" spans="1:11" ht="17.25" customHeight="1" x14ac:dyDescent="0.25">
      <c r="A25" s="322"/>
      <c r="B25" s="576"/>
      <c r="C25" s="454"/>
      <c r="D25" s="454"/>
      <c r="E25" s="3"/>
    </row>
    <row r="26" spans="1:11" ht="17.25" customHeight="1" x14ac:dyDescent="0.25">
      <c r="A26" s="752" t="s">
        <v>477</v>
      </c>
      <c r="B26" s="752"/>
      <c r="C26" s="752"/>
      <c r="D26" s="753"/>
      <c r="E26" s="513"/>
      <c r="F26" s="752" t="s">
        <v>496</v>
      </c>
      <c r="G26" s="752"/>
      <c r="H26" s="752"/>
      <c r="I26" s="752"/>
    </row>
    <row r="27" spans="1:11" ht="17.25" customHeight="1" thickBot="1" x14ac:dyDescent="0.3">
      <c r="A27" s="553" t="s">
        <v>8</v>
      </c>
      <c r="B27" s="553" t="s">
        <v>498</v>
      </c>
      <c r="C27" s="554" t="s">
        <v>499</v>
      </c>
      <c r="D27" s="555"/>
      <c r="E27" s="556"/>
      <c r="F27" s="455" t="s">
        <v>8</v>
      </c>
      <c r="G27" s="455" t="s">
        <v>498</v>
      </c>
      <c r="H27" s="456" t="s">
        <v>499</v>
      </c>
      <c r="I27" s="455"/>
    </row>
    <row r="28" spans="1:11" ht="17.25" customHeight="1" x14ac:dyDescent="0.25">
      <c r="A28" s="567"/>
      <c r="B28" s="568"/>
      <c r="C28" s="569"/>
      <c r="D28" s="574"/>
      <c r="E28" s="513"/>
      <c r="F28" s="13">
        <v>83646</v>
      </c>
      <c r="G28" s="13">
        <v>18644</v>
      </c>
      <c r="H28" s="439">
        <v>42836</v>
      </c>
      <c r="I28" s="574"/>
    </row>
    <row r="29" spans="1:11" ht="17.25" customHeight="1" x14ac:dyDescent="0.25">
      <c r="A29" s="585" t="s">
        <v>745</v>
      </c>
      <c r="B29" s="588">
        <v>23388</v>
      </c>
      <c r="C29" s="591" t="s">
        <v>762</v>
      </c>
      <c r="D29" s="574" t="s">
        <v>773</v>
      </c>
      <c r="E29" s="513"/>
      <c r="F29" s="13">
        <v>83639</v>
      </c>
      <c r="G29" s="13">
        <v>18400</v>
      </c>
      <c r="H29" s="439">
        <v>42836</v>
      </c>
      <c r="I29" s="574"/>
    </row>
    <row r="30" spans="1:11" ht="17.25" customHeight="1" x14ac:dyDescent="0.25">
      <c r="A30" s="585" t="s">
        <v>746</v>
      </c>
      <c r="B30" s="588">
        <v>51000</v>
      </c>
      <c r="C30" s="591" t="s">
        <v>763</v>
      </c>
      <c r="D30" s="582"/>
      <c r="E30" s="513"/>
      <c r="F30" s="13">
        <v>83647</v>
      </c>
      <c r="G30" s="13">
        <v>8700</v>
      </c>
      <c r="H30" s="439">
        <v>42836</v>
      </c>
      <c r="I30" s="582"/>
    </row>
    <row r="31" spans="1:11" ht="17.25" customHeight="1" x14ac:dyDescent="0.25">
      <c r="A31" s="499" t="s">
        <v>532</v>
      </c>
      <c r="B31" s="500">
        <v>20000</v>
      </c>
      <c r="C31" s="501" t="s">
        <v>764</v>
      </c>
      <c r="D31" s="574" t="s">
        <v>774</v>
      </c>
      <c r="E31" s="513"/>
      <c r="F31" s="13">
        <v>83394</v>
      </c>
      <c r="G31" s="13">
        <v>10165</v>
      </c>
      <c r="H31" s="439">
        <v>42850</v>
      </c>
      <c r="I31" s="582" t="s">
        <v>790</v>
      </c>
    </row>
    <row r="32" spans="1:11" ht="17.25" customHeight="1" x14ac:dyDescent="0.25">
      <c r="A32" s="499" t="s">
        <v>697</v>
      </c>
      <c r="B32" s="500">
        <v>27000</v>
      </c>
      <c r="C32" s="501" t="s">
        <v>764</v>
      </c>
      <c r="D32" s="574" t="s">
        <v>775</v>
      </c>
      <c r="E32" s="513"/>
      <c r="F32" s="13"/>
      <c r="G32" s="13"/>
      <c r="H32" s="439"/>
      <c r="I32" s="582"/>
    </row>
    <row r="33" spans="1:9" ht="17.25" customHeight="1" x14ac:dyDescent="0.25">
      <c r="A33" s="585"/>
      <c r="B33" s="588"/>
      <c r="C33" s="591"/>
      <c r="D33" s="574"/>
      <c r="E33" s="513"/>
      <c r="F33" s="13" t="s">
        <v>12</v>
      </c>
      <c r="G33" s="13">
        <f>SUM(G28:G31)</f>
        <v>55909</v>
      </c>
      <c r="H33" s="439"/>
      <c r="I33" s="574"/>
    </row>
    <row r="34" spans="1:9" ht="17.25" customHeight="1" x14ac:dyDescent="0.25">
      <c r="A34" s="499" t="s">
        <v>705</v>
      </c>
      <c r="B34" s="500">
        <v>19000</v>
      </c>
      <c r="C34" s="501" t="s">
        <v>765</v>
      </c>
      <c r="D34" s="641">
        <v>42840</v>
      </c>
      <c r="E34" s="513"/>
    </row>
    <row r="35" spans="1:9" ht="17.25" customHeight="1" x14ac:dyDescent="0.25">
      <c r="A35" s="515" t="s">
        <v>747</v>
      </c>
      <c r="B35" s="516">
        <v>23500</v>
      </c>
      <c r="C35" s="517" t="s">
        <v>766</v>
      </c>
      <c r="D35" s="518" t="s">
        <v>789</v>
      </c>
      <c r="E35" s="513"/>
    </row>
    <row r="36" spans="1:9" ht="17.25" customHeight="1" x14ac:dyDescent="0.25">
      <c r="A36" s="499" t="s">
        <v>748</v>
      </c>
      <c r="B36" s="500">
        <v>20000</v>
      </c>
      <c r="C36" s="501" t="s">
        <v>766</v>
      </c>
      <c r="D36" s="574"/>
      <c r="E36" s="279"/>
    </row>
    <row r="37" spans="1:9" ht="17.25" customHeight="1" x14ac:dyDescent="0.25">
      <c r="A37" s="499" t="s">
        <v>749</v>
      </c>
      <c r="B37" s="500">
        <v>24000</v>
      </c>
      <c r="C37" s="501" t="s">
        <v>767</v>
      </c>
      <c r="D37" s="279" t="s">
        <v>503</v>
      </c>
      <c r="E37" s="279"/>
    </row>
    <row r="38" spans="1:9" ht="17.25" customHeight="1" x14ac:dyDescent="0.25">
      <c r="A38" s="499" t="s">
        <v>750</v>
      </c>
      <c r="B38" s="500">
        <v>65000</v>
      </c>
      <c r="C38" s="501" t="s">
        <v>768</v>
      </c>
      <c r="D38" s="279"/>
      <c r="E38" s="279"/>
    </row>
    <row r="39" spans="1:9" ht="17.25" customHeight="1" x14ac:dyDescent="0.25">
      <c r="A39" s="545" t="s">
        <v>702</v>
      </c>
      <c r="B39" s="548">
        <v>4000</v>
      </c>
      <c r="C39" s="501" t="s">
        <v>769</v>
      </c>
      <c r="D39" s="279" t="s">
        <v>790</v>
      </c>
      <c r="E39" s="279"/>
    </row>
    <row r="40" spans="1:9" ht="17.25" customHeight="1" x14ac:dyDescent="0.25">
      <c r="A40" s="545" t="s">
        <v>751</v>
      </c>
      <c r="B40" s="548">
        <v>23838</v>
      </c>
      <c r="C40" s="546">
        <v>42826</v>
      </c>
      <c r="D40" s="583" t="s">
        <v>776</v>
      </c>
      <c r="E40" s="279"/>
    </row>
    <row r="41" spans="1:9" ht="17.25" customHeight="1" x14ac:dyDescent="0.25">
      <c r="A41" s="545" t="s">
        <v>751</v>
      </c>
      <c r="B41" s="548">
        <v>3612</v>
      </c>
      <c r="C41" s="546">
        <v>42826</v>
      </c>
      <c r="D41" s="279"/>
      <c r="E41" s="279"/>
    </row>
    <row r="42" spans="1:9" ht="17.25" customHeight="1" x14ac:dyDescent="0.25">
      <c r="A42" s="545" t="s">
        <v>514</v>
      </c>
      <c r="B42" s="548">
        <v>20500</v>
      </c>
      <c r="C42" s="546">
        <v>42828</v>
      </c>
      <c r="D42" s="279"/>
      <c r="E42" s="279"/>
    </row>
    <row r="43" spans="1:9" ht="17.25" customHeight="1" x14ac:dyDescent="0.25">
      <c r="A43" s="545" t="s">
        <v>753</v>
      </c>
      <c r="B43" s="548">
        <v>14000</v>
      </c>
      <c r="C43" s="546">
        <v>42831</v>
      </c>
      <c r="D43" s="279"/>
      <c r="E43" s="279"/>
    </row>
    <row r="44" spans="1:9" ht="17.25" customHeight="1" x14ac:dyDescent="0.25">
      <c r="A44" s="545" t="s">
        <v>753</v>
      </c>
      <c r="B44" s="548">
        <v>62000</v>
      </c>
      <c r="C44" s="546">
        <v>42831</v>
      </c>
      <c r="D44" s="279"/>
      <c r="E44" s="279"/>
    </row>
    <row r="45" spans="1:9" ht="17.25" customHeight="1" x14ac:dyDescent="0.25">
      <c r="A45" s="545" t="s">
        <v>752</v>
      </c>
      <c r="B45" s="548">
        <v>5500</v>
      </c>
      <c r="C45" s="546">
        <v>42832</v>
      </c>
      <c r="D45" s="279"/>
      <c r="E45" s="279"/>
    </row>
    <row r="46" spans="1:9" ht="17.25" customHeight="1" x14ac:dyDescent="0.25">
      <c r="A46" s="545" t="s">
        <v>752</v>
      </c>
      <c r="B46" s="548">
        <v>78000</v>
      </c>
      <c r="C46" s="546">
        <v>42832</v>
      </c>
      <c r="D46" s="279"/>
      <c r="E46" s="279"/>
    </row>
    <row r="47" spans="1:9" ht="17.25" customHeight="1" x14ac:dyDescent="0.25">
      <c r="A47" s="545" t="s">
        <v>514</v>
      </c>
      <c r="B47" s="548">
        <v>34000</v>
      </c>
      <c r="C47" s="546">
        <v>42834</v>
      </c>
      <c r="D47" s="279"/>
      <c r="E47" s="279"/>
    </row>
    <row r="48" spans="1:9" ht="17.25" customHeight="1" x14ac:dyDescent="0.25">
      <c r="A48" s="545" t="s">
        <v>119</v>
      </c>
      <c r="B48" s="548">
        <v>14000</v>
      </c>
      <c r="C48" s="546">
        <v>42834</v>
      </c>
      <c r="D48" s="279"/>
      <c r="E48" s="279"/>
    </row>
    <row r="49" spans="1:5" ht="17.25" customHeight="1" x14ac:dyDescent="0.25">
      <c r="A49" s="545" t="s">
        <v>753</v>
      </c>
      <c r="B49" s="548">
        <v>23000</v>
      </c>
      <c r="C49" s="546">
        <v>42838</v>
      </c>
      <c r="D49" s="279"/>
      <c r="E49" s="279"/>
    </row>
    <row r="50" spans="1:5" ht="17.25" customHeight="1" x14ac:dyDescent="0.25">
      <c r="A50" s="545" t="s">
        <v>514</v>
      </c>
      <c r="B50" s="548">
        <v>13500</v>
      </c>
      <c r="C50" s="546">
        <v>42838</v>
      </c>
      <c r="D50" s="279"/>
      <c r="E50" s="279"/>
    </row>
    <row r="51" spans="1:5" ht="17.25" customHeight="1" x14ac:dyDescent="0.25">
      <c r="A51" s="545" t="s">
        <v>752</v>
      </c>
      <c r="B51" s="548">
        <v>2000</v>
      </c>
      <c r="C51" s="546" t="s">
        <v>771</v>
      </c>
      <c r="D51" s="279"/>
      <c r="E51" s="279"/>
    </row>
    <row r="52" spans="1:5" ht="17.25" customHeight="1" x14ac:dyDescent="0.25">
      <c r="A52" s="545" t="s">
        <v>119</v>
      </c>
      <c r="B52" s="548">
        <v>57500</v>
      </c>
      <c r="C52" s="546" t="s">
        <v>771</v>
      </c>
      <c r="D52" s="279"/>
      <c r="E52" s="279"/>
    </row>
    <row r="53" spans="1:5" ht="17.25" customHeight="1" x14ac:dyDescent="0.25">
      <c r="A53" s="545" t="s">
        <v>752</v>
      </c>
      <c r="B53" s="548">
        <v>23000</v>
      </c>
      <c r="C53" s="546">
        <v>42852</v>
      </c>
      <c r="D53" s="583" t="s">
        <v>777</v>
      </c>
      <c r="E53" s="279"/>
    </row>
    <row r="54" spans="1:5" ht="17.25" customHeight="1" x14ac:dyDescent="0.25">
      <c r="A54" s="545" t="s">
        <v>514</v>
      </c>
      <c r="B54" s="548">
        <v>32500</v>
      </c>
      <c r="C54" s="546">
        <v>42852</v>
      </c>
      <c r="D54" s="279"/>
      <c r="E54" s="279"/>
    </row>
    <row r="55" spans="1:5" ht="17.25" customHeight="1" x14ac:dyDescent="0.25">
      <c r="A55" s="545" t="s">
        <v>753</v>
      </c>
      <c r="B55" s="548">
        <v>34500</v>
      </c>
      <c r="C55" s="546">
        <v>42852</v>
      </c>
      <c r="D55" s="279"/>
      <c r="E55" s="279"/>
    </row>
    <row r="56" spans="1:5" ht="17.25" customHeight="1" x14ac:dyDescent="0.25">
      <c r="A56" s="545" t="s">
        <v>754</v>
      </c>
      <c r="B56" s="548">
        <v>33400</v>
      </c>
      <c r="C56" s="546">
        <v>42849</v>
      </c>
      <c r="D56" s="583" t="s">
        <v>778</v>
      </c>
      <c r="E56" s="279"/>
    </row>
    <row r="57" spans="1:5" ht="17.25" customHeight="1" x14ac:dyDescent="0.25">
      <c r="A57" s="642" t="s">
        <v>837</v>
      </c>
      <c r="B57" s="643">
        <v>6000</v>
      </c>
      <c r="C57" s="644">
        <v>42842</v>
      </c>
      <c r="D57" s="518"/>
      <c r="E57" s="279" t="s">
        <v>838</v>
      </c>
    </row>
    <row r="58" spans="1:5" ht="17.25" customHeight="1" x14ac:dyDescent="0.25">
      <c r="A58" s="545" t="s">
        <v>708</v>
      </c>
      <c r="B58" s="548">
        <v>48000</v>
      </c>
      <c r="C58" s="592" t="s">
        <v>762</v>
      </c>
      <c r="D58" s="279"/>
      <c r="E58" s="279"/>
    </row>
    <row r="59" spans="1:5" ht="17.25" customHeight="1" x14ac:dyDescent="0.25">
      <c r="A59" s="545" t="s">
        <v>755</v>
      </c>
      <c r="B59" s="548">
        <v>8000</v>
      </c>
      <c r="C59" s="592" t="s">
        <v>762</v>
      </c>
      <c r="D59" s="279"/>
      <c r="E59" s="279" t="s">
        <v>840</v>
      </c>
    </row>
    <row r="60" spans="1:5" ht="17.25" customHeight="1" x14ac:dyDescent="0.25">
      <c r="A60" s="499" t="s">
        <v>756</v>
      </c>
      <c r="B60" s="500">
        <v>4000</v>
      </c>
      <c r="C60" s="501" t="s">
        <v>770</v>
      </c>
      <c r="D60" s="279"/>
      <c r="E60" s="279" t="s">
        <v>791</v>
      </c>
    </row>
    <row r="61" spans="1:5" ht="17.25" customHeight="1" x14ac:dyDescent="0.25">
      <c r="A61" s="499" t="s">
        <v>579</v>
      </c>
      <c r="B61" s="500">
        <v>6000</v>
      </c>
      <c r="C61" s="501" t="s">
        <v>770</v>
      </c>
      <c r="D61" s="279"/>
      <c r="E61" s="279"/>
    </row>
    <row r="62" spans="1:5" ht="17.25" customHeight="1" x14ac:dyDescent="0.25">
      <c r="A62" s="594" t="s">
        <v>490</v>
      </c>
      <c r="B62" s="500">
        <v>53000</v>
      </c>
      <c r="C62" s="501" t="s">
        <v>785</v>
      </c>
      <c r="D62" s="279"/>
      <c r="E62" s="279"/>
    </row>
    <row r="63" spans="1:5" ht="17.25" customHeight="1" x14ac:dyDescent="0.25">
      <c r="A63" s="545" t="s">
        <v>757</v>
      </c>
      <c r="B63" s="548">
        <v>7000</v>
      </c>
      <c r="C63" s="546" t="s">
        <v>772</v>
      </c>
      <c r="D63" s="279"/>
      <c r="E63" s="279"/>
    </row>
    <row r="64" spans="1:5" ht="17.25" customHeight="1" x14ac:dyDescent="0.25">
      <c r="A64" s="545" t="s">
        <v>758</v>
      </c>
      <c r="B64" s="548">
        <v>10000</v>
      </c>
      <c r="C64" s="546" t="s">
        <v>772</v>
      </c>
      <c r="D64" s="279"/>
      <c r="E64" s="279"/>
    </row>
    <row r="65" spans="1:5" ht="17.25" customHeight="1" x14ac:dyDescent="0.25">
      <c r="A65" s="499" t="s">
        <v>759</v>
      </c>
      <c r="B65" s="500">
        <v>41732</v>
      </c>
      <c r="C65" s="501">
        <v>42835</v>
      </c>
      <c r="D65" s="279"/>
      <c r="E65" s="279"/>
    </row>
    <row r="66" spans="1:5" ht="17.25" customHeight="1" x14ac:dyDescent="0.25">
      <c r="A66" s="499" t="s">
        <v>759</v>
      </c>
      <c r="B66" s="500">
        <v>18268</v>
      </c>
      <c r="C66" s="501">
        <v>42835</v>
      </c>
      <c r="D66" s="279"/>
      <c r="E66" s="279"/>
    </row>
    <row r="67" spans="1:5" ht="17.25" customHeight="1" x14ac:dyDescent="0.25">
      <c r="A67" s="499" t="s">
        <v>759</v>
      </c>
      <c r="B67" s="500">
        <v>10000</v>
      </c>
      <c r="C67" s="501">
        <v>42840</v>
      </c>
      <c r="D67" s="279"/>
      <c r="E67" s="279"/>
    </row>
    <row r="68" spans="1:5" ht="17.25" customHeight="1" x14ac:dyDescent="0.25">
      <c r="A68" s="499" t="s">
        <v>760</v>
      </c>
      <c r="B68" s="500">
        <v>18700</v>
      </c>
      <c r="C68" s="501">
        <v>42842</v>
      </c>
      <c r="D68" s="583" t="s">
        <v>779</v>
      </c>
      <c r="E68" s="279"/>
    </row>
    <row r="69" spans="1:5" ht="17.25" customHeight="1" x14ac:dyDescent="0.25">
      <c r="A69" s="499" t="s">
        <v>709</v>
      </c>
      <c r="B69" s="500">
        <v>3500</v>
      </c>
      <c r="C69" s="501">
        <v>42845</v>
      </c>
      <c r="D69" s="279"/>
      <c r="E69" s="279"/>
    </row>
    <row r="70" spans="1:5" ht="17.25" customHeight="1" x14ac:dyDescent="0.25">
      <c r="A70" s="499" t="s">
        <v>709</v>
      </c>
      <c r="B70" s="500">
        <v>6000</v>
      </c>
      <c r="C70" s="501">
        <v>42850</v>
      </c>
      <c r="D70" s="279"/>
      <c r="E70" s="279"/>
    </row>
    <row r="71" spans="1:5" ht="17.25" customHeight="1" thickBot="1" x14ac:dyDescent="0.3">
      <c r="A71" s="586"/>
      <c r="B71" s="589"/>
    </row>
    <row r="72" spans="1:5" ht="17.25" customHeight="1" thickBot="1" x14ac:dyDescent="0.3">
      <c r="A72" s="587" t="s">
        <v>761</v>
      </c>
      <c r="B72" s="590">
        <f>SUM(B29:B71)</f>
        <v>991938</v>
      </c>
    </row>
  </sheetData>
  <mergeCells count="13">
    <mergeCell ref="A14:D14"/>
    <mergeCell ref="F14:I14"/>
    <mergeCell ref="A26:D26"/>
    <mergeCell ref="F26:I26"/>
    <mergeCell ref="A1:F1"/>
    <mergeCell ref="H1:I1"/>
    <mergeCell ref="A2:A3"/>
    <mergeCell ref="B2:B3"/>
    <mergeCell ref="C2:D2"/>
    <mergeCell ref="E2:E3"/>
    <mergeCell ref="F2:F3"/>
    <mergeCell ref="H2:H3"/>
    <mergeCell ref="I2:I3"/>
  </mergeCells>
  <pageMargins left="0.45" right="0.45" top="0.25" bottom="0" header="0.3" footer="0"/>
  <pageSetup paperSize="9" scale="54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topLeftCell="A23" zoomScaleNormal="100" workbookViewId="0">
      <selection activeCell="B36" sqref="B36"/>
    </sheetView>
  </sheetViews>
  <sheetFormatPr defaultRowHeight="15" x14ac:dyDescent="0.25"/>
  <cols>
    <col min="1" max="1" width="15.5703125" style="260" customWidth="1"/>
    <col min="2" max="2" width="13.5703125" style="260" customWidth="1"/>
    <col min="3" max="3" width="12.140625" style="260" customWidth="1"/>
    <col min="4" max="4" width="16.7109375" style="260" customWidth="1"/>
    <col min="5" max="5" width="18" style="260" customWidth="1"/>
    <col min="6" max="6" width="27.42578125" style="260" customWidth="1"/>
    <col min="7" max="7" width="21.5703125" style="260" customWidth="1"/>
    <col min="8" max="9" width="14.5703125" style="260" customWidth="1"/>
    <col min="10" max="16384" width="9.140625" style="260"/>
  </cols>
  <sheetData>
    <row r="1" spans="1:11" ht="31.5" customHeight="1" x14ac:dyDescent="0.25">
      <c r="A1" s="744" t="s">
        <v>695</v>
      </c>
      <c r="B1" s="744"/>
      <c r="C1" s="744"/>
      <c r="D1" s="744"/>
      <c r="E1" s="744"/>
      <c r="F1" s="744"/>
      <c r="H1" s="745" t="s">
        <v>696</v>
      </c>
      <c r="I1" s="745"/>
    </row>
    <row r="2" spans="1:11" ht="19.5" customHeight="1" x14ac:dyDescent="0.25">
      <c r="A2" s="754" t="s">
        <v>7</v>
      </c>
      <c r="B2" s="754" t="s">
        <v>47</v>
      </c>
      <c r="C2" s="754" t="s">
        <v>199</v>
      </c>
      <c r="D2" s="754"/>
      <c r="E2" s="755" t="s">
        <v>32</v>
      </c>
      <c r="F2" s="754" t="s">
        <v>591</v>
      </c>
      <c r="H2" s="754" t="s">
        <v>7</v>
      </c>
      <c r="I2" s="754" t="s">
        <v>47</v>
      </c>
    </row>
    <row r="3" spans="1:11" ht="19.5" customHeight="1" x14ac:dyDescent="0.25">
      <c r="A3" s="754"/>
      <c r="B3" s="754"/>
      <c r="C3" s="559" t="s">
        <v>5</v>
      </c>
      <c r="D3" s="559" t="s">
        <v>152</v>
      </c>
      <c r="E3" s="756"/>
      <c r="F3" s="754"/>
      <c r="H3" s="754"/>
      <c r="I3" s="754"/>
    </row>
    <row r="4" spans="1:11" x14ac:dyDescent="0.25">
      <c r="A4" s="262" t="s">
        <v>11</v>
      </c>
      <c r="B4" s="264">
        <v>1817912</v>
      </c>
      <c r="C4" s="264">
        <v>91800</v>
      </c>
      <c r="D4" s="264">
        <v>403275</v>
      </c>
      <c r="E4" s="221">
        <f>+B4-(C4+D4)</f>
        <v>1322837</v>
      </c>
      <c r="F4" s="235"/>
      <c r="H4" s="262" t="s">
        <v>11</v>
      </c>
      <c r="I4" s="264">
        <v>1817912</v>
      </c>
    </row>
    <row r="5" spans="1:11" x14ac:dyDescent="0.25">
      <c r="A5" s="262" t="s">
        <v>17</v>
      </c>
      <c r="B5" s="262">
        <v>172552</v>
      </c>
      <c r="C5" s="262">
        <v>93175</v>
      </c>
      <c r="D5" s="262">
        <v>48950</v>
      </c>
      <c r="E5" s="221">
        <f t="shared" ref="E5:E10" si="0">+B5-(C5+D5)</f>
        <v>30427</v>
      </c>
      <c r="F5" s="36"/>
      <c r="H5" s="262" t="s">
        <v>17</v>
      </c>
      <c r="I5" s="262">
        <v>172552</v>
      </c>
    </row>
    <row r="6" spans="1:11" x14ac:dyDescent="0.25">
      <c r="A6" s="262" t="s">
        <v>24</v>
      </c>
      <c r="B6" s="264">
        <v>90407</v>
      </c>
      <c r="C6" s="264">
        <v>75707</v>
      </c>
      <c r="D6" s="264"/>
      <c r="E6" s="221">
        <f t="shared" si="0"/>
        <v>14700</v>
      </c>
      <c r="F6" s="36"/>
      <c r="H6" s="262" t="s">
        <v>24</v>
      </c>
      <c r="I6" s="264">
        <v>90407</v>
      </c>
    </row>
    <row r="7" spans="1:11" x14ac:dyDescent="0.25">
      <c r="A7" s="262" t="s">
        <v>42</v>
      </c>
      <c r="B7" s="262">
        <v>609253</v>
      </c>
      <c r="C7" s="262">
        <v>370762</v>
      </c>
      <c r="D7" s="262"/>
      <c r="E7" s="221">
        <f t="shared" si="0"/>
        <v>238491</v>
      </c>
      <c r="F7" s="37"/>
      <c r="H7" s="262" t="s">
        <v>42</v>
      </c>
      <c r="I7" s="262">
        <v>609253</v>
      </c>
    </row>
    <row r="8" spans="1:11" x14ac:dyDescent="0.25">
      <c r="A8" s="262" t="s">
        <v>29</v>
      </c>
      <c r="B8" s="262">
        <v>23269</v>
      </c>
      <c r="C8" s="262">
        <v>23269</v>
      </c>
      <c r="D8" s="262"/>
      <c r="E8" s="221">
        <f t="shared" si="0"/>
        <v>0</v>
      </c>
      <c r="F8" s="248"/>
      <c r="H8" s="262" t="s">
        <v>29</v>
      </c>
      <c r="I8" s="262">
        <v>23269</v>
      </c>
    </row>
    <row r="9" spans="1:11" x14ac:dyDescent="0.25">
      <c r="A9" s="262" t="s">
        <v>260</v>
      </c>
      <c r="B9" s="262">
        <v>43000</v>
      </c>
      <c r="C9" s="262">
        <v>0</v>
      </c>
      <c r="D9" s="262">
        <v>43000</v>
      </c>
      <c r="E9" s="221">
        <f t="shared" si="0"/>
        <v>0</v>
      </c>
      <c r="F9" s="251"/>
      <c r="H9" s="262" t="s">
        <v>260</v>
      </c>
      <c r="I9" s="262">
        <v>43000</v>
      </c>
    </row>
    <row r="10" spans="1:11" x14ac:dyDescent="0.25">
      <c r="A10" s="262" t="s">
        <v>332</v>
      </c>
      <c r="B10" s="262">
        <v>5800</v>
      </c>
      <c r="C10" s="262">
        <v>5800</v>
      </c>
      <c r="D10" s="262"/>
      <c r="E10" s="221">
        <f t="shared" si="0"/>
        <v>0</v>
      </c>
      <c r="F10" s="248"/>
      <c r="H10" s="262" t="s">
        <v>332</v>
      </c>
      <c r="I10" s="262">
        <v>5800</v>
      </c>
    </row>
    <row r="11" spans="1:11" x14ac:dyDescent="0.25">
      <c r="A11" s="559" t="s">
        <v>12</v>
      </c>
      <c r="B11" s="250">
        <f>SUM(B4:B10)</f>
        <v>2762193</v>
      </c>
      <c r="C11" s="250">
        <f>SUM(C4:C10)</f>
        <v>660513</v>
      </c>
      <c r="D11" s="250">
        <f>SUM(D4:D10)</f>
        <v>495225</v>
      </c>
      <c r="E11" s="162">
        <f>SUM(E4:E10)</f>
        <v>1606455</v>
      </c>
      <c r="F11" s="505">
        <f>+C11+D11</f>
        <v>1155738</v>
      </c>
      <c r="H11" s="572" t="s">
        <v>12</v>
      </c>
      <c r="I11" s="250">
        <f>SUM(I4:I10)</f>
        <v>2762193</v>
      </c>
    </row>
    <row r="13" spans="1:11" ht="13.5" customHeight="1" x14ac:dyDescent="0.25">
      <c r="A13" s="3"/>
      <c r="B13" s="558"/>
      <c r="C13" s="325"/>
      <c r="D13" s="558"/>
      <c r="E13" s="560"/>
      <c r="G13" s="558"/>
      <c r="H13" s="558"/>
      <c r="I13" s="558"/>
      <c r="J13" s="558"/>
      <c r="K13" s="560"/>
    </row>
    <row r="14" spans="1:11" ht="13.5" customHeight="1" x14ac:dyDescent="0.25">
      <c r="A14" s="752" t="s">
        <v>476</v>
      </c>
      <c r="B14" s="752"/>
      <c r="C14" s="752"/>
      <c r="D14" s="752"/>
      <c r="E14" s="560"/>
      <c r="F14" s="752" t="s">
        <v>685</v>
      </c>
      <c r="G14" s="752"/>
      <c r="H14" s="752"/>
      <c r="I14" s="752"/>
      <c r="J14" s="558"/>
      <c r="K14" s="560"/>
    </row>
    <row r="15" spans="1:11" ht="13.5" customHeight="1" x14ac:dyDescent="0.25">
      <c r="A15" s="455" t="s">
        <v>8</v>
      </c>
      <c r="B15" s="455" t="s">
        <v>498</v>
      </c>
      <c r="C15" s="456" t="s">
        <v>499</v>
      </c>
      <c r="D15" s="455"/>
      <c r="E15" s="316"/>
      <c r="F15" s="455" t="s">
        <v>8</v>
      </c>
      <c r="G15" s="455" t="s">
        <v>498</v>
      </c>
      <c r="H15" s="456" t="s">
        <v>499</v>
      </c>
      <c r="I15" s="455"/>
      <c r="J15" s="322"/>
      <c r="K15" s="316"/>
    </row>
    <row r="16" spans="1:11" x14ac:dyDescent="0.25">
      <c r="A16" s="13" t="s">
        <v>474</v>
      </c>
      <c r="B16" s="13">
        <v>28491</v>
      </c>
      <c r="C16" s="439">
        <v>42799</v>
      </c>
      <c r="D16" s="564" t="s">
        <v>687</v>
      </c>
      <c r="E16" s="3"/>
      <c r="F16" s="13" t="s">
        <v>734</v>
      </c>
      <c r="G16" s="13">
        <v>17352</v>
      </c>
      <c r="H16" s="439">
        <v>42800</v>
      </c>
      <c r="I16" s="562" t="s">
        <v>736</v>
      </c>
      <c r="J16" s="2"/>
      <c r="K16" s="3"/>
    </row>
    <row r="17" spans="1:11" x14ac:dyDescent="0.25">
      <c r="A17" s="471" t="s">
        <v>671</v>
      </c>
      <c r="B17" s="471">
        <v>120000</v>
      </c>
      <c r="C17" s="472">
        <v>42804</v>
      </c>
      <c r="D17" s="557"/>
      <c r="E17" s="3"/>
      <c r="F17" s="13" t="s">
        <v>686</v>
      </c>
      <c r="G17" s="13">
        <v>4700</v>
      </c>
      <c r="H17" s="439">
        <v>42800</v>
      </c>
      <c r="I17" s="598" t="s">
        <v>736</v>
      </c>
      <c r="J17" s="2"/>
      <c r="K17" s="3"/>
    </row>
    <row r="18" spans="1:11" x14ac:dyDescent="0.25">
      <c r="A18" s="471" t="s">
        <v>688</v>
      </c>
      <c r="B18" s="471">
        <v>40000</v>
      </c>
      <c r="C18" s="472">
        <v>42410</v>
      </c>
      <c r="D18" s="557" t="s">
        <v>666</v>
      </c>
      <c r="E18" s="3"/>
      <c r="F18" s="13" t="s">
        <v>689</v>
      </c>
      <c r="G18" s="13">
        <v>6335</v>
      </c>
      <c r="H18" s="439">
        <v>42814</v>
      </c>
      <c r="I18" s="598" t="s">
        <v>501</v>
      </c>
      <c r="J18" s="2"/>
      <c r="K18" s="3"/>
    </row>
    <row r="19" spans="1:11" x14ac:dyDescent="0.25">
      <c r="A19" s="471" t="s">
        <v>671</v>
      </c>
      <c r="B19" s="471">
        <v>50000</v>
      </c>
      <c r="C19" s="472">
        <v>42816</v>
      </c>
      <c r="D19" s="557"/>
      <c r="E19" s="3"/>
      <c r="F19" s="13"/>
      <c r="G19" s="13"/>
      <c r="H19" s="439"/>
      <c r="I19" s="564"/>
      <c r="J19" s="2"/>
      <c r="K19" s="3"/>
    </row>
    <row r="20" spans="1:11" x14ac:dyDescent="0.25">
      <c r="A20" s="471"/>
      <c r="B20" s="471"/>
      <c r="C20" s="472"/>
      <c r="D20" s="557"/>
      <c r="E20" s="3"/>
      <c r="F20" s="13"/>
      <c r="G20" s="13"/>
      <c r="H20" s="439"/>
      <c r="I20" s="288"/>
      <c r="J20" s="2"/>
      <c r="K20" s="3"/>
    </row>
    <row r="21" spans="1:11" x14ac:dyDescent="0.25">
      <c r="A21" s="442" t="s">
        <v>12</v>
      </c>
      <c r="B21" s="442">
        <f>SUM(B15:B20)</f>
        <v>238491</v>
      </c>
      <c r="C21" s="438"/>
      <c r="D21" s="438"/>
      <c r="E21" s="3"/>
      <c r="F21" s="442" t="s">
        <v>12</v>
      </c>
      <c r="G21" s="442">
        <f>SUM(G16:G20)</f>
        <v>28387</v>
      </c>
      <c r="H21" s="438"/>
      <c r="I21" s="438"/>
      <c r="J21" s="3"/>
    </row>
    <row r="22" spans="1:11" x14ac:dyDescent="0.25">
      <c r="A22" s="489"/>
      <c r="B22" s="489"/>
      <c r="C22" s="454"/>
      <c r="D22" s="454"/>
      <c r="E22" s="3"/>
      <c r="F22" s="489"/>
      <c r="G22" s="489"/>
      <c r="H22" s="454"/>
      <c r="I22" s="454"/>
      <c r="J22" s="3"/>
    </row>
    <row r="23" spans="1:11" x14ac:dyDescent="0.25">
      <c r="A23" s="489"/>
      <c r="B23" s="489"/>
      <c r="C23" s="454"/>
      <c r="D23" s="454"/>
      <c r="E23" s="3"/>
      <c r="F23" s="489"/>
      <c r="G23" s="489"/>
      <c r="H23" s="454"/>
      <c r="I23" s="454"/>
      <c r="J23" s="3"/>
    </row>
    <row r="24" spans="1:11" x14ac:dyDescent="0.25">
      <c r="A24" s="322"/>
      <c r="B24" s="558"/>
      <c r="C24" s="454"/>
      <c r="D24" s="454"/>
      <c r="E24" s="3"/>
      <c r="F24" s="3"/>
      <c r="G24" s="3"/>
      <c r="H24" s="3"/>
      <c r="I24" s="3"/>
      <c r="J24" s="3"/>
    </row>
    <row r="25" spans="1:11" x14ac:dyDescent="0.25">
      <c r="A25" s="322"/>
      <c r="B25" s="558"/>
      <c r="C25" s="454"/>
      <c r="D25" s="454"/>
      <c r="E25" s="3"/>
    </row>
    <row r="26" spans="1:11" x14ac:dyDescent="0.25">
      <c r="A26" s="752" t="s">
        <v>477</v>
      </c>
      <c r="B26" s="752"/>
      <c r="C26" s="752"/>
      <c r="D26" s="753"/>
      <c r="E26" s="513"/>
      <c r="F26" s="752" t="s">
        <v>496</v>
      </c>
      <c r="G26" s="752"/>
      <c r="H26" s="752"/>
      <c r="I26" s="752"/>
    </row>
    <row r="27" spans="1:11" ht="16.5" thickBot="1" x14ac:dyDescent="0.3">
      <c r="A27" s="553" t="s">
        <v>8</v>
      </c>
      <c r="B27" s="553" t="s">
        <v>498</v>
      </c>
      <c r="C27" s="554" t="s">
        <v>499</v>
      </c>
      <c r="D27" s="555"/>
      <c r="E27" s="556"/>
      <c r="F27" s="455" t="s">
        <v>8</v>
      </c>
      <c r="G27" s="455" t="s">
        <v>498</v>
      </c>
      <c r="H27" s="456" t="s">
        <v>499</v>
      </c>
      <c r="I27" s="455"/>
    </row>
    <row r="28" spans="1:11" x14ac:dyDescent="0.25">
      <c r="A28" s="567"/>
      <c r="B28" s="568"/>
      <c r="C28" s="569"/>
      <c r="D28" s="557"/>
      <c r="E28" s="513"/>
      <c r="F28" s="13"/>
      <c r="G28" s="13"/>
      <c r="H28" s="439"/>
      <c r="I28" s="564"/>
    </row>
    <row r="29" spans="1:11" x14ac:dyDescent="0.25">
      <c r="A29" s="499" t="s">
        <v>697</v>
      </c>
      <c r="B29" s="500">
        <v>65000</v>
      </c>
      <c r="C29" s="501" t="s">
        <v>710</v>
      </c>
      <c r="D29" s="566" t="s">
        <v>495</v>
      </c>
      <c r="E29" s="513"/>
      <c r="F29" s="13">
        <v>83834</v>
      </c>
      <c r="G29" s="13">
        <v>14700</v>
      </c>
      <c r="H29" s="439">
        <v>42795</v>
      </c>
      <c r="I29" s="564"/>
    </row>
    <row r="30" spans="1:11" x14ac:dyDescent="0.25">
      <c r="A30" s="499" t="s">
        <v>534</v>
      </c>
      <c r="B30" s="500">
        <v>90000</v>
      </c>
      <c r="C30" s="501" t="s">
        <v>711</v>
      </c>
      <c r="D30" s="566" t="s">
        <v>728</v>
      </c>
      <c r="E30" s="513"/>
      <c r="F30" s="13" t="s">
        <v>12</v>
      </c>
      <c r="G30" s="13">
        <v>14700</v>
      </c>
      <c r="H30" s="439"/>
      <c r="I30" s="564"/>
    </row>
    <row r="31" spans="1:11" ht="16.5" customHeight="1" x14ac:dyDescent="0.25">
      <c r="A31" s="499" t="s">
        <v>698</v>
      </c>
      <c r="B31" s="500">
        <v>43500</v>
      </c>
      <c r="C31" s="501" t="s">
        <v>712</v>
      </c>
      <c r="D31" s="566" t="s">
        <v>729</v>
      </c>
      <c r="E31" s="513"/>
      <c r="F31" s="6"/>
      <c r="G31" s="6"/>
      <c r="H31" s="488"/>
      <c r="I31" s="565"/>
    </row>
    <row r="32" spans="1:11" x14ac:dyDescent="0.25">
      <c r="A32" s="499" t="s">
        <v>698</v>
      </c>
      <c r="B32" s="500">
        <v>35000</v>
      </c>
      <c r="C32" s="501" t="s">
        <v>711</v>
      </c>
      <c r="D32" s="566" t="s">
        <v>730</v>
      </c>
      <c r="E32" s="513"/>
    </row>
    <row r="33" spans="1:5" x14ac:dyDescent="0.25">
      <c r="A33" s="499" t="s">
        <v>699</v>
      </c>
      <c r="B33" s="500">
        <v>6211</v>
      </c>
      <c r="C33" s="501" t="s">
        <v>713</v>
      </c>
      <c r="D33" s="557"/>
      <c r="E33" s="539" t="s">
        <v>740</v>
      </c>
    </row>
    <row r="34" spans="1:5" ht="14.25" customHeight="1" x14ac:dyDescent="0.25">
      <c r="A34" s="499" t="s">
        <v>535</v>
      </c>
      <c r="B34" s="500">
        <v>64000</v>
      </c>
      <c r="C34" s="549" t="s">
        <v>714</v>
      </c>
      <c r="D34" s="557"/>
      <c r="E34" s="513"/>
    </row>
    <row r="35" spans="1:5" ht="14.25" customHeight="1" x14ac:dyDescent="0.25">
      <c r="A35" s="499" t="s">
        <v>119</v>
      </c>
      <c r="B35" s="500">
        <v>120001</v>
      </c>
      <c r="C35" s="549" t="s">
        <v>714</v>
      </c>
      <c r="D35" s="557"/>
      <c r="E35" s="513"/>
    </row>
    <row r="36" spans="1:5" x14ac:dyDescent="0.25">
      <c r="A36" s="499" t="s">
        <v>514</v>
      </c>
      <c r="B36" s="500">
        <v>11000</v>
      </c>
      <c r="C36" s="549" t="s">
        <v>714</v>
      </c>
      <c r="D36" s="279"/>
      <c r="E36" s="279"/>
    </row>
    <row r="37" spans="1:5" x14ac:dyDescent="0.25">
      <c r="A37" s="499" t="s">
        <v>535</v>
      </c>
      <c r="B37" s="500">
        <v>14500</v>
      </c>
      <c r="C37" s="549" t="s">
        <v>715</v>
      </c>
      <c r="D37" s="279"/>
      <c r="E37" s="279"/>
    </row>
    <row r="38" spans="1:5" x14ac:dyDescent="0.25">
      <c r="A38" s="499" t="s">
        <v>514</v>
      </c>
      <c r="B38" s="500">
        <v>34000</v>
      </c>
      <c r="C38" s="549" t="s">
        <v>715</v>
      </c>
      <c r="D38" s="279"/>
      <c r="E38" s="279"/>
    </row>
    <row r="39" spans="1:5" x14ac:dyDescent="0.25">
      <c r="A39" s="499" t="s">
        <v>119</v>
      </c>
      <c r="B39" s="500">
        <v>33500</v>
      </c>
      <c r="C39" s="549" t="s">
        <v>715</v>
      </c>
      <c r="D39" s="279"/>
      <c r="E39" s="279"/>
    </row>
    <row r="40" spans="1:5" x14ac:dyDescent="0.25">
      <c r="A40" s="499" t="s">
        <v>514</v>
      </c>
      <c r="B40" s="500">
        <v>24500</v>
      </c>
      <c r="C40" s="549" t="s">
        <v>716</v>
      </c>
      <c r="D40" s="557"/>
      <c r="E40" s="279"/>
    </row>
    <row r="41" spans="1:5" x14ac:dyDescent="0.25">
      <c r="A41" s="499" t="s">
        <v>119</v>
      </c>
      <c r="B41" s="500">
        <v>107501</v>
      </c>
      <c r="C41" s="549" t="s">
        <v>716</v>
      </c>
      <c r="D41" s="279"/>
      <c r="E41" s="279"/>
    </row>
    <row r="42" spans="1:5" x14ac:dyDescent="0.25">
      <c r="A42" s="499" t="s">
        <v>700</v>
      </c>
      <c r="B42" s="500">
        <v>500</v>
      </c>
      <c r="C42" s="549" t="s">
        <v>716</v>
      </c>
      <c r="D42" s="279"/>
      <c r="E42" s="279"/>
    </row>
    <row r="43" spans="1:5" x14ac:dyDescent="0.25">
      <c r="A43" s="499" t="s">
        <v>119</v>
      </c>
      <c r="B43" s="500">
        <v>25500</v>
      </c>
      <c r="C43" s="549" t="s">
        <v>717</v>
      </c>
      <c r="D43" s="557"/>
      <c r="E43" s="279"/>
    </row>
    <row r="44" spans="1:5" x14ac:dyDescent="0.25">
      <c r="A44" s="499" t="s">
        <v>514</v>
      </c>
      <c r="B44" s="500">
        <v>47000</v>
      </c>
      <c r="C44" s="549" t="s">
        <v>717</v>
      </c>
      <c r="D44" s="279"/>
      <c r="E44" s="279"/>
    </row>
    <row r="45" spans="1:5" x14ac:dyDescent="0.25">
      <c r="A45" s="499" t="s">
        <v>535</v>
      </c>
      <c r="B45" s="500">
        <v>9500</v>
      </c>
      <c r="C45" s="549" t="s">
        <v>717</v>
      </c>
      <c r="D45" s="279"/>
      <c r="E45" s="279"/>
    </row>
    <row r="46" spans="1:5" x14ac:dyDescent="0.25">
      <c r="A46" s="499" t="s">
        <v>119</v>
      </c>
      <c r="B46" s="500">
        <v>86500</v>
      </c>
      <c r="C46" s="549" t="s">
        <v>717</v>
      </c>
      <c r="D46" s="279"/>
      <c r="E46" s="279"/>
    </row>
    <row r="47" spans="1:5" x14ac:dyDescent="0.25">
      <c r="A47" s="499" t="s">
        <v>535</v>
      </c>
      <c r="B47" s="500">
        <v>137000</v>
      </c>
      <c r="C47" s="549" t="s">
        <v>717</v>
      </c>
      <c r="D47" s="279"/>
      <c r="E47" s="279"/>
    </row>
    <row r="48" spans="1:5" x14ac:dyDescent="0.25">
      <c r="A48" s="499" t="s">
        <v>119</v>
      </c>
      <c r="B48" s="500">
        <v>11500</v>
      </c>
      <c r="C48" s="549" t="s">
        <v>717</v>
      </c>
      <c r="D48" s="279"/>
      <c r="E48" s="279"/>
    </row>
    <row r="49" spans="1:5" x14ac:dyDescent="0.25">
      <c r="A49" s="499" t="s">
        <v>119</v>
      </c>
      <c r="B49" s="500">
        <v>19000</v>
      </c>
      <c r="C49" s="549" t="s">
        <v>718</v>
      </c>
      <c r="D49" s="279"/>
      <c r="E49" s="279"/>
    </row>
    <row r="50" spans="1:5" x14ac:dyDescent="0.25">
      <c r="A50" s="499" t="s">
        <v>676</v>
      </c>
      <c r="B50" s="552">
        <v>4000</v>
      </c>
      <c r="C50" s="549" t="s">
        <v>719</v>
      </c>
      <c r="D50" s="557"/>
      <c r="E50" s="279"/>
    </row>
    <row r="51" spans="1:5" x14ac:dyDescent="0.25">
      <c r="A51" s="499" t="s">
        <v>701</v>
      </c>
      <c r="B51" s="500">
        <v>1000</v>
      </c>
      <c r="C51" s="501" t="s">
        <v>720</v>
      </c>
      <c r="D51" s="279"/>
      <c r="E51" s="279"/>
    </row>
    <row r="52" spans="1:5" x14ac:dyDescent="0.25">
      <c r="A52" s="515" t="s">
        <v>702</v>
      </c>
      <c r="B52" s="516">
        <v>6000</v>
      </c>
      <c r="C52" s="517" t="s">
        <v>720</v>
      </c>
      <c r="D52" s="279" t="s">
        <v>786</v>
      </c>
      <c r="E52" s="279" t="s">
        <v>792</v>
      </c>
    </row>
    <row r="53" spans="1:5" x14ac:dyDescent="0.25">
      <c r="A53" s="515" t="s">
        <v>703</v>
      </c>
      <c r="B53" s="516">
        <v>3735</v>
      </c>
      <c r="C53" s="517" t="s">
        <v>720</v>
      </c>
      <c r="D53" s="279">
        <v>11.03</v>
      </c>
      <c r="E53" s="599" t="s">
        <v>794</v>
      </c>
    </row>
    <row r="54" spans="1:5" x14ac:dyDescent="0.25">
      <c r="A54" s="499" t="s">
        <v>704</v>
      </c>
      <c r="B54" s="500">
        <v>41800</v>
      </c>
      <c r="C54" s="501" t="s">
        <v>721</v>
      </c>
      <c r="D54" s="279"/>
      <c r="E54" s="279"/>
    </row>
    <row r="55" spans="1:5" x14ac:dyDescent="0.25">
      <c r="A55" s="499" t="s">
        <v>705</v>
      </c>
      <c r="B55" s="500">
        <v>19000</v>
      </c>
      <c r="C55" s="501" t="s">
        <v>722</v>
      </c>
      <c r="D55" s="279"/>
      <c r="E55" s="279"/>
    </row>
    <row r="56" spans="1:5" x14ac:dyDescent="0.25">
      <c r="A56" s="499" t="s">
        <v>706</v>
      </c>
      <c r="B56" s="500">
        <v>23200</v>
      </c>
      <c r="C56" s="501" t="s">
        <v>721</v>
      </c>
      <c r="D56" s="566" t="s">
        <v>731</v>
      </c>
      <c r="E56" s="279"/>
    </row>
    <row r="57" spans="1:5" x14ac:dyDescent="0.25">
      <c r="A57" s="515" t="s">
        <v>707</v>
      </c>
      <c r="B57" s="516">
        <v>8100</v>
      </c>
      <c r="C57" s="517" t="s">
        <v>721</v>
      </c>
      <c r="D57" s="279" t="s">
        <v>787</v>
      </c>
      <c r="E57" s="279"/>
    </row>
    <row r="58" spans="1:5" x14ac:dyDescent="0.25">
      <c r="A58" s="499" t="s">
        <v>490</v>
      </c>
      <c r="B58" s="500">
        <v>56000</v>
      </c>
      <c r="C58" s="501" t="s">
        <v>724</v>
      </c>
      <c r="D58" s="279"/>
      <c r="E58" s="279"/>
    </row>
    <row r="59" spans="1:5" x14ac:dyDescent="0.25">
      <c r="A59" s="499" t="s">
        <v>708</v>
      </c>
      <c r="B59" s="500">
        <v>48000</v>
      </c>
      <c r="C59" s="501" t="s">
        <v>725</v>
      </c>
      <c r="D59" s="279"/>
      <c r="E59" s="279"/>
    </row>
    <row r="60" spans="1:5" x14ac:dyDescent="0.25">
      <c r="A60" s="499" t="s">
        <v>538</v>
      </c>
      <c r="B60" s="500">
        <v>6000</v>
      </c>
      <c r="C60" s="501" t="s">
        <v>725</v>
      </c>
      <c r="D60" s="279"/>
      <c r="E60" s="279"/>
    </row>
    <row r="61" spans="1:5" x14ac:dyDescent="0.25">
      <c r="A61" s="499" t="s">
        <v>540</v>
      </c>
      <c r="B61" s="500">
        <v>8000</v>
      </c>
      <c r="C61" s="501" t="s">
        <v>725</v>
      </c>
      <c r="D61" s="279"/>
      <c r="E61" s="279"/>
    </row>
    <row r="62" spans="1:5" x14ac:dyDescent="0.25">
      <c r="A62" s="499" t="s">
        <v>605</v>
      </c>
      <c r="B62" s="500">
        <v>12000</v>
      </c>
      <c r="C62" s="501" t="s">
        <v>726</v>
      </c>
      <c r="D62" s="279"/>
      <c r="E62" s="279"/>
    </row>
    <row r="63" spans="1:5" x14ac:dyDescent="0.25">
      <c r="A63" s="499" t="s">
        <v>576</v>
      </c>
      <c r="B63" s="500">
        <v>6000</v>
      </c>
      <c r="C63" s="501" t="s">
        <v>723</v>
      </c>
      <c r="D63" s="279"/>
      <c r="E63" s="279"/>
    </row>
    <row r="64" spans="1:5" x14ac:dyDescent="0.25">
      <c r="A64" s="499" t="s">
        <v>626</v>
      </c>
      <c r="B64" s="500">
        <v>13000</v>
      </c>
      <c r="C64" s="501" t="s">
        <v>726</v>
      </c>
      <c r="D64" s="279"/>
      <c r="E64" s="279"/>
    </row>
    <row r="65" spans="1:5" x14ac:dyDescent="0.25">
      <c r="A65" s="499" t="s">
        <v>576</v>
      </c>
      <c r="B65" s="500">
        <v>5000</v>
      </c>
      <c r="C65" s="501" t="s">
        <v>727</v>
      </c>
      <c r="D65" s="279"/>
      <c r="E65" s="279"/>
    </row>
    <row r="66" spans="1:5" x14ac:dyDescent="0.25">
      <c r="A66" s="545" t="s">
        <v>709</v>
      </c>
      <c r="B66" s="548">
        <v>63000</v>
      </c>
      <c r="C66" s="546">
        <v>42824</v>
      </c>
      <c r="D66" s="279"/>
      <c r="E66" s="279"/>
    </row>
    <row r="67" spans="1:5" x14ac:dyDescent="0.25">
      <c r="A67" s="539" t="s">
        <v>12</v>
      </c>
      <c r="B67" s="570">
        <f>SUM(B29:B66)</f>
        <v>1309048</v>
      </c>
      <c r="C67" s="539"/>
      <c r="D67" s="279"/>
      <c r="E67" s="279"/>
    </row>
  </sheetData>
  <mergeCells count="13">
    <mergeCell ref="A14:D14"/>
    <mergeCell ref="F14:I14"/>
    <mergeCell ref="A26:D26"/>
    <mergeCell ref="F26:I26"/>
    <mergeCell ref="A1:F1"/>
    <mergeCell ref="H1:I1"/>
    <mergeCell ref="A2:A3"/>
    <mergeCell ref="B2:B3"/>
    <mergeCell ref="C2:D2"/>
    <mergeCell ref="E2:E3"/>
    <mergeCell ref="F2:F3"/>
    <mergeCell ref="H2:H3"/>
    <mergeCell ref="I2:I3"/>
  </mergeCells>
  <pageMargins left="0.45" right="0.45" top="0.25" bottom="0" header="0.3" footer="0"/>
  <pageSetup paperSize="9" scale="54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opLeftCell="A42" zoomScaleNormal="100" workbookViewId="0">
      <selection activeCell="A49" sqref="A49"/>
    </sheetView>
  </sheetViews>
  <sheetFormatPr defaultRowHeight="15" x14ac:dyDescent="0.25"/>
  <cols>
    <col min="1" max="1" width="15.5703125" style="260" customWidth="1"/>
    <col min="2" max="2" width="13.5703125" style="260" customWidth="1"/>
    <col min="3" max="3" width="12.140625" style="260" customWidth="1"/>
    <col min="4" max="4" width="16.7109375" style="260" customWidth="1"/>
    <col min="5" max="5" width="18" style="260" customWidth="1"/>
    <col min="6" max="6" width="27.42578125" style="260" customWidth="1"/>
    <col min="7" max="7" width="21.5703125" style="260" customWidth="1"/>
    <col min="8" max="9" width="14.5703125" style="260" customWidth="1"/>
    <col min="10" max="16384" width="9.140625" style="260"/>
  </cols>
  <sheetData>
    <row r="1" spans="1:11" ht="31.5" customHeight="1" x14ac:dyDescent="0.25">
      <c r="A1" s="744" t="s">
        <v>631</v>
      </c>
      <c r="B1" s="744"/>
      <c r="C1" s="744"/>
      <c r="D1" s="744"/>
      <c r="E1" s="744"/>
      <c r="F1" s="744"/>
      <c r="H1" s="745" t="s">
        <v>672</v>
      </c>
      <c r="I1" s="745"/>
    </row>
    <row r="2" spans="1:11" ht="19.5" customHeight="1" x14ac:dyDescent="0.25">
      <c r="A2" s="754" t="s">
        <v>7</v>
      </c>
      <c r="B2" s="754" t="s">
        <v>47</v>
      </c>
      <c r="C2" s="754" t="s">
        <v>199</v>
      </c>
      <c r="D2" s="754"/>
      <c r="E2" s="755" t="s">
        <v>32</v>
      </c>
      <c r="F2" s="754" t="s">
        <v>591</v>
      </c>
      <c r="H2" s="754" t="s">
        <v>7</v>
      </c>
      <c r="I2" s="754" t="s">
        <v>47</v>
      </c>
    </row>
    <row r="3" spans="1:11" ht="19.5" customHeight="1" x14ac:dyDescent="0.25">
      <c r="A3" s="754"/>
      <c r="B3" s="754"/>
      <c r="C3" s="542" t="s">
        <v>5</v>
      </c>
      <c r="D3" s="542" t="s">
        <v>152</v>
      </c>
      <c r="E3" s="756"/>
      <c r="F3" s="754"/>
      <c r="H3" s="754"/>
      <c r="I3" s="754"/>
    </row>
    <row r="4" spans="1:11" x14ac:dyDescent="0.25">
      <c r="A4" s="262" t="s">
        <v>11</v>
      </c>
      <c r="B4" s="264">
        <v>1766165</v>
      </c>
      <c r="C4" s="264">
        <v>125035</v>
      </c>
      <c r="D4" s="264">
        <v>438400</v>
      </c>
      <c r="E4" s="221">
        <f>+B4-(C4+D4)</f>
        <v>1202730</v>
      </c>
      <c r="F4" s="235"/>
      <c r="H4" s="262" t="s">
        <v>11</v>
      </c>
      <c r="I4" s="264">
        <v>1766165</v>
      </c>
    </row>
    <row r="5" spans="1:11" x14ac:dyDescent="0.25">
      <c r="A5" s="262" t="s">
        <v>17</v>
      </c>
      <c r="B5" s="262">
        <v>168363</v>
      </c>
      <c r="C5" s="262">
        <v>107115</v>
      </c>
      <c r="D5" s="262">
        <v>61248</v>
      </c>
      <c r="E5" s="221">
        <f t="shared" ref="E5:E10" si="0">+B5-(C5+D5)</f>
        <v>0</v>
      </c>
      <c r="F5" s="36"/>
      <c r="H5" s="262" t="s">
        <v>17</v>
      </c>
      <c r="I5" s="262">
        <v>168363</v>
      </c>
    </row>
    <row r="6" spans="1:11" x14ac:dyDescent="0.25">
      <c r="A6" s="262" t="s">
        <v>24</v>
      </c>
      <c r="B6" s="264">
        <v>70102</v>
      </c>
      <c r="C6" s="264">
        <v>70102</v>
      </c>
      <c r="D6" s="264"/>
      <c r="E6" s="221">
        <f t="shared" si="0"/>
        <v>0</v>
      </c>
      <c r="F6" s="36"/>
      <c r="H6" s="262" t="s">
        <v>24</v>
      </c>
      <c r="I6" s="264">
        <v>70102</v>
      </c>
    </row>
    <row r="7" spans="1:11" x14ac:dyDescent="0.25">
      <c r="A7" s="262" t="s">
        <v>42</v>
      </c>
      <c r="B7" s="262">
        <v>505751</v>
      </c>
      <c r="C7" s="262">
        <v>394579</v>
      </c>
      <c r="D7" s="262"/>
      <c r="E7" s="221">
        <f t="shared" si="0"/>
        <v>111172</v>
      </c>
      <c r="F7" s="37"/>
      <c r="H7" s="262" t="s">
        <v>42</v>
      </c>
      <c r="I7" s="262">
        <v>505751</v>
      </c>
    </row>
    <row r="8" spans="1:11" x14ac:dyDescent="0.25">
      <c r="A8" s="262" t="s">
        <v>29</v>
      </c>
      <c r="B8" s="262">
        <v>17209</v>
      </c>
      <c r="C8" s="262">
        <v>17209</v>
      </c>
      <c r="D8" s="262"/>
      <c r="E8" s="221">
        <f t="shared" si="0"/>
        <v>0</v>
      </c>
      <c r="F8" s="248"/>
      <c r="H8" s="262" t="s">
        <v>29</v>
      </c>
      <c r="I8" s="262">
        <v>17209</v>
      </c>
    </row>
    <row r="9" spans="1:11" x14ac:dyDescent="0.25">
      <c r="A9" s="262" t="s">
        <v>260</v>
      </c>
      <c r="B9" s="262">
        <v>0</v>
      </c>
      <c r="C9" s="262">
        <v>0</v>
      </c>
      <c r="D9" s="262"/>
      <c r="E9" s="221">
        <f t="shared" si="0"/>
        <v>0</v>
      </c>
      <c r="F9" s="251"/>
      <c r="H9" s="262" t="s">
        <v>260</v>
      </c>
      <c r="I9" s="262">
        <v>0</v>
      </c>
    </row>
    <row r="10" spans="1:11" x14ac:dyDescent="0.25">
      <c r="A10" s="262" t="s">
        <v>332</v>
      </c>
      <c r="B10" s="262">
        <v>0</v>
      </c>
      <c r="C10" s="262">
        <v>0</v>
      </c>
      <c r="D10" s="262"/>
      <c r="E10" s="221">
        <f t="shared" si="0"/>
        <v>0</v>
      </c>
      <c r="F10" s="248"/>
      <c r="H10" s="262" t="s">
        <v>332</v>
      </c>
      <c r="I10" s="262">
        <v>0</v>
      </c>
    </row>
    <row r="11" spans="1:11" x14ac:dyDescent="0.25">
      <c r="A11" s="542" t="s">
        <v>12</v>
      </c>
      <c r="B11" s="250">
        <f>SUM(B4:B10)</f>
        <v>2527590</v>
      </c>
      <c r="C11" s="250">
        <f>SUM(C4:C10)</f>
        <v>714040</v>
      </c>
      <c r="D11" s="250">
        <f>SUM(D4:D9)</f>
        <v>499648</v>
      </c>
      <c r="E11" s="162">
        <f>SUM(E4:E10)</f>
        <v>1313902</v>
      </c>
      <c r="F11" s="505">
        <f>+C11+D11</f>
        <v>1213688</v>
      </c>
      <c r="H11" s="572" t="s">
        <v>12</v>
      </c>
      <c r="I11" s="250">
        <f>SUM(I4:I10)</f>
        <v>2527590</v>
      </c>
    </row>
    <row r="13" spans="1:11" ht="13.5" customHeight="1" x14ac:dyDescent="0.25">
      <c r="A13" s="3"/>
      <c r="B13" s="541"/>
      <c r="C13" s="325"/>
      <c r="D13" s="541"/>
      <c r="E13" s="543"/>
      <c r="G13" s="541"/>
      <c r="H13" s="541"/>
      <c r="I13" s="541"/>
      <c r="J13" s="541"/>
      <c r="K13" s="543"/>
    </row>
    <row r="14" spans="1:11" ht="13.5" customHeight="1" x14ac:dyDescent="0.25">
      <c r="A14" s="752" t="s">
        <v>476</v>
      </c>
      <c r="B14" s="752"/>
      <c r="C14" s="752"/>
      <c r="D14" s="752"/>
      <c r="E14" s="543"/>
      <c r="F14" s="743"/>
      <c r="G14" s="743"/>
      <c r="H14" s="743"/>
      <c r="I14" s="743"/>
      <c r="J14" s="541"/>
      <c r="K14" s="543"/>
    </row>
    <row r="15" spans="1:11" ht="13.5" customHeight="1" x14ac:dyDescent="0.25">
      <c r="A15" s="455" t="s">
        <v>8</v>
      </c>
      <c r="B15" s="455" t="s">
        <v>498</v>
      </c>
      <c r="C15" s="456" t="s">
        <v>499</v>
      </c>
      <c r="D15" s="455"/>
      <c r="E15" s="316"/>
      <c r="F15" s="486"/>
      <c r="G15" s="486"/>
      <c r="H15" s="487"/>
      <c r="I15" s="486"/>
      <c r="J15" s="322"/>
      <c r="K15" s="316"/>
    </row>
    <row r="16" spans="1:11" x14ac:dyDescent="0.25">
      <c r="A16" s="13" t="s">
        <v>669</v>
      </c>
      <c r="B16" s="13">
        <v>33500</v>
      </c>
      <c r="C16" s="439">
        <v>42405</v>
      </c>
      <c r="D16" s="540"/>
      <c r="E16" s="3"/>
      <c r="F16" s="6"/>
      <c r="G16" s="6"/>
      <c r="H16" s="488"/>
      <c r="I16" s="573"/>
      <c r="J16" s="2"/>
      <c r="K16" s="3"/>
    </row>
    <row r="17" spans="1:11" x14ac:dyDescent="0.25">
      <c r="A17" s="13"/>
      <c r="B17" s="471"/>
      <c r="C17" s="472"/>
      <c r="D17" s="544"/>
      <c r="E17" s="3"/>
      <c r="F17" s="6"/>
      <c r="G17" s="6"/>
      <c r="H17" s="488"/>
      <c r="I17" s="573"/>
      <c r="J17" s="2"/>
      <c r="K17" s="3"/>
    </row>
    <row r="18" spans="1:11" x14ac:dyDescent="0.25">
      <c r="A18" s="471" t="s">
        <v>670</v>
      </c>
      <c r="B18" s="471">
        <v>76632</v>
      </c>
      <c r="C18" s="472">
        <v>42410</v>
      </c>
      <c r="D18" s="540" t="s">
        <v>678</v>
      </c>
      <c r="E18" s="3"/>
      <c r="F18" s="6"/>
      <c r="G18" s="6"/>
      <c r="H18" s="488"/>
      <c r="I18" s="573"/>
      <c r="J18" s="2"/>
      <c r="K18" s="3"/>
    </row>
    <row r="19" spans="1:11" x14ac:dyDescent="0.25">
      <c r="A19" s="471"/>
      <c r="B19" s="471"/>
      <c r="C19" s="472"/>
      <c r="D19" s="540"/>
      <c r="E19" s="3"/>
      <c r="F19" s="6"/>
      <c r="G19" s="6"/>
      <c r="H19" s="488"/>
      <c r="I19" s="573"/>
      <c r="J19" s="2"/>
      <c r="K19" s="3"/>
    </row>
    <row r="20" spans="1:11" x14ac:dyDescent="0.25">
      <c r="A20" s="471"/>
      <c r="B20" s="471"/>
      <c r="C20" s="472"/>
      <c r="D20" s="540"/>
      <c r="E20" s="3"/>
      <c r="F20" s="6"/>
      <c r="G20" s="6"/>
      <c r="H20" s="488"/>
      <c r="I20" s="573"/>
      <c r="J20" s="2"/>
      <c r="K20" s="3"/>
    </row>
    <row r="21" spans="1:11" x14ac:dyDescent="0.25">
      <c r="A21" s="442" t="s">
        <v>12</v>
      </c>
      <c r="B21" s="442">
        <f>SUM(B15:B20)</f>
        <v>110132</v>
      </c>
      <c r="C21" s="438"/>
      <c r="D21" s="438"/>
      <c r="E21" s="3"/>
      <c r="F21" s="489"/>
      <c r="G21" s="489"/>
      <c r="H21" s="454"/>
      <c r="I21" s="454"/>
      <c r="J21" s="3"/>
    </row>
    <row r="22" spans="1:11" x14ac:dyDescent="0.25">
      <c r="A22" s="322"/>
      <c r="B22" s="541"/>
      <c r="C22" s="454"/>
      <c r="D22" s="454"/>
      <c r="E22" s="3"/>
      <c r="F22" s="3"/>
      <c r="G22" s="3"/>
      <c r="H22" s="3"/>
      <c r="I22" s="3"/>
      <c r="J22" s="3"/>
    </row>
    <row r="23" spans="1:11" x14ac:dyDescent="0.25">
      <c r="A23" s="322"/>
      <c r="B23" s="541"/>
      <c r="C23" s="454"/>
      <c r="D23" s="454"/>
      <c r="E23" s="3"/>
    </row>
    <row r="24" spans="1:11" x14ac:dyDescent="0.25">
      <c r="A24" s="752" t="s">
        <v>477</v>
      </c>
      <c r="B24" s="752"/>
      <c r="C24" s="752"/>
      <c r="D24" s="753"/>
      <c r="E24" s="513"/>
      <c r="F24" s="743"/>
      <c r="G24" s="743"/>
      <c r="H24" s="743"/>
      <c r="I24" s="743"/>
    </row>
    <row r="25" spans="1:11" ht="15.75" x14ac:dyDescent="0.25">
      <c r="A25" s="553" t="s">
        <v>8</v>
      </c>
      <c r="B25" s="553" t="s">
        <v>498</v>
      </c>
      <c r="C25" s="554" t="s">
        <v>499</v>
      </c>
      <c r="D25" s="555"/>
      <c r="E25" s="556"/>
      <c r="F25" s="486"/>
      <c r="G25" s="486"/>
      <c r="H25" s="487"/>
      <c r="I25" s="486"/>
    </row>
    <row r="26" spans="1:11" x14ac:dyDescent="0.25">
      <c r="A26" s="545" t="s">
        <v>534</v>
      </c>
      <c r="B26" s="548">
        <v>85000</v>
      </c>
      <c r="C26" s="501" t="s">
        <v>646</v>
      </c>
      <c r="D26" s="544"/>
      <c r="E26" s="513"/>
      <c r="F26" s="6"/>
      <c r="G26" s="6"/>
      <c r="H26" s="488"/>
      <c r="I26" s="541"/>
    </row>
    <row r="27" spans="1:11" x14ac:dyDescent="0.25">
      <c r="A27" s="545" t="s">
        <v>532</v>
      </c>
      <c r="B27" s="548">
        <v>49304</v>
      </c>
      <c r="C27" s="501" t="s">
        <v>647</v>
      </c>
      <c r="D27" s="544"/>
      <c r="E27" s="513"/>
      <c r="F27" s="6"/>
      <c r="G27" s="6"/>
      <c r="H27" s="488"/>
      <c r="I27" s="2"/>
    </row>
    <row r="28" spans="1:11" x14ac:dyDescent="0.25">
      <c r="A28" s="499" t="s">
        <v>514</v>
      </c>
      <c r="B28" s="500">
        <v>21500</v>
      </c>
      <c r="C28" s="549" t="s">
        <v>650</v>
      </c>
      <c r="D28" s="279"/>
      <c r="E28" s="513"/>
    </row>
    <row r="29" spans="1:11" x14ac:dyDescent="0.25">
      <c r="A29" s="499" t="s">
        <v>119</v>
      </c>
      <c r="B29" s="500">
        <v>16500</v>
      </c>
      <c r="C29" s="549" t="s">
        <v>650</v>
      </c>
      <c r="D29" s="544" t="s">
        <v>625</v>
      </c>
      <c r="E29" s="539"/>
    </row>
    <row r="30" spans="1:11" ht="14.25" customHeight="1" x14ac:dyDescent="0.25">
      <c r="A30" s="499" t="s">
        <v>535</v>
      </c>
      <c r="B30" s="500">
        <v>5000</v>
      </c>
      <c r="C30" s="549" t="s">
        <v>651</v>
      </c>
      <c r="D30" s="544"/>
      <c r="E30" s="513"/>
    </row>
    <row r="31" spans="1:11" ht="14.25" customHeight="1" x14ac:dyDescent="0.25">
      <c r="A31" s="499" t="s">
        <v>514</v>
      </c>
      <c r="B31" s="500">
        <v>32500</v>
      </c>
      <c r="C31" s="549" t="s">
        <v>651</v>
      </c>
      <c r="D31" s="544"/>
      <c r="E31" s="513"/>
    </row>
    <row r="32" spans="1:11" x14ac:dyDescent="0.25">
      <c r="A32" s="499" t="s">
        <v>119</v>
      </c>
      <c r="B32" s="500">
        <v>5500</v>
      </c>
      <c r="C32" s="549" t="s">
        <v>651</v>
      </c>
      <c r="D32" s="279"/>
      <c r="E32" s="279"/>
    </row>
    <row r="33" spans="1:5" x14ac:dyDescent="0.25">
      <c r="A33" s="499" t="s">
        <v>535</v>
      </c>
      <c r="B33" s="500">
        <v>15000</v>
      </c>
      <c r="C33" s="549" t="s">
        <v>648</v>
      </c>
      <c r="D33" s="279"/>
      <c r="E33" s="279"/>
    </row>
    <row r="34" spans="1:5" x14ac:dyDescent="0.25">
      <c r="A34" s="499" t="s">
        <v>119</v>
      </c>
      <c r="B34" s="500">
        <v>114000</v>
      </c>
      <c r="C34" s="549" t="s">
        <v>648</v>
      </c>
      <c r="D34" s="279"/>
      <c r="E34" s="279"/>
    </row>
    <row r="35" spans="1:5" x14ac:dyDescent="0.25">
      <c r="A35" s="499" t="s">
        <v>119</v>
      </c>
      <c r="B35" s="500">
        <v>85000</v>
      </c>
      <c r="C35" s="549" t="s">
        <v>652</v>
      </c>
      <c r="D35" s="279"/>
      <c r="E35" s="279"/>
    </row>
    <row r="36" spans="1:5" x14ac:dyDescent="0.25">
      <c r="A36" s="499" t="s">
        <v>514</v>
      </c>
      <c r="B36" s="500">
        <v>37500</v>
      </c>
      <c r="C36" s="549" t="s">
        <v>652</v>
      </c>
      <c r="D36" s="279"/>
      <c r="E36" s="279"/>
    </row>
    <row r="37" spans="1:5" x14ac:dyDescent="0.25">
      <c r="A37" s="499" t="s">
        <v>556</v>
      </c>
      <c r="B37" s="500">
        <v>20000</v>
      </c>
      <c r="C37" s="549" t="s">
        <v>653</v>
      </c>
      <c r="D37" s="544" t="s">
        <v>665</v>
      </c>
      <c r="E37" s="279"/>
    </row>
    <row r="38" spans="1:5" x14ac:dyDescent="0.25">
      <c r="A38" s="449" t="s">
        <v>566</v>
      </c>
      <c r="B38" s="550">
        <v>5500</v>
      </c>
      <c r="C38" s="551" t="s">
        <v>654</v>
      </c>
      <c r="D38" s="571" t="s">
        <v>501</v>
      </c>
      <c r="E38" s="279"/>
    </row>
    <row r="39" spans="1:5" x14ac:dyDescent="0.25">
      <c r="A39" s="449" t="s">
        <v>633</v>
      </c>
      <c r="B39" s="550">
        <v>27500</v>
      </c>
      <c r="C39" s="551" t="s">
        <v>654</v>
      </c>
      <c r="D39" s="279"/>
      <c r="E39" s="279" t="s">
        <v>733</v>
      </c>
    </row>
    <row r="40" spans="1:5" ht="18" customHeight="1" x14ac:dyDescent="0.25">
      <c r="A40" s="547" t="s">
        <v>634</v>
      </c>
      <c r="B40" s="550">
        <v>35000</v>
      </c>
      <c r="C40" s="551" t="s">
        <v>654</v>
      </c>
      <c r="D40" s="279"/>
      <c r="E40" s="279" t="s">
        <v>733</v>
      </c>
    </row>
    <row r="41" spans="1:5" x14ac:dyDescent="0.25">
      <c r="A41" s="547" t="s">
        <v>635</v>
      </c>
      <c r="B41" s="550">
        <v>140000</v>
      </c>
      <c r="C41" s="551" t="s">
        <v>655</v>
      </c>
      <c r="D41" s="544" t="s">
        <v>666</v>
      </c>
      <c r="E41" s="279"/>
    </row>
    <row r="42" spans="1:5" x14ac:dyDescent="0.25">
      <c r="A42" s="547" t="s">
        <v>636</v>
      </c>
      <c r="B42" s="550">
        <v>15500</v>
      </c>
      <c r="C42" s="551" t="s">
        <v>656</v>
      </c>
      <c r="D42" s="279"/>
      <c r="E42" s="279"/>
    </row>
    <row r="43" spans="1:5" x14ac:dyDescent="0.25">
      <c r="A43" s="499" t="s">
        <v>637</v>
      </c>
      <c r="B43" s="552">
        <v>20000</v>
      </c>
      <c r="C43" s="549" t="s">
        <v>657</v>
      </c>
      <c r="D43" s="279" t="s">
        <v>501</v>
      </c>
      <c r="E43" s="279"/>
    </row>
    <row r="44" spans="1:5" x14ac:dyDescent="0.25">
      <c r="A44" s="499" t="s">
        <v>638</v>
      </c>
      <c r="B44" s="552">
        <v>1000</v>
      </c>
      <c r="C44" s="549" t="s">
        <v>648</v>
      </c>
      <c r="D44" s="279"/>
      <c r="E44" s="279"/>
    </row>
    <row r="45" spans="1:5" x14ac:dyDescent="0.25">
      <c r="A45" s="499" t="s">
        <v>564</v>
      </c>
      <c r="B45" s="552">
        <v>27000</v>
      </c>
      <c r="C45" s="549" t="s">
        <v>649</v>
      </c>
      <c r="D45" s="279"/>
      <c r="E45" s="279"/>
    </row>
    <row r="46" spans="1:5" x14ac:dyDescent="0.25">
      <c r="A46" s="578" t="s">
        <v>674</v>
      </c>
      <c r="B46" s="579">
        <v>10500</v>
      </c>
      <c r="C46" s="580" t="s">
        <v>675</v>
      </c>
      <c r="D46" s="581"/>
      <c r="E46" s="581"/>
    </row>
    <row r="47" spans="1:5" x14ac:dyDescent="0.25">
      <c r="A47" s="499" t="s">
        <v>676</v>
      </c>
      <c r="B47" s="552">
        <v>21000</v>
      </c>
      <c r="C47" s="549" t="s">
        <v>677</v>
      </c>
      <c r="D47" s="279"/>
      <c r="E47" s="279"/>
    </row>
    <row r="48" spans="1:5" x14ac:dyDescent="0.25">
      <c r="A48" s="499" t="s">
        <v>680</v>
      </c>
      <c r="B48" s="552">
        <v>30500</v>
      </c>
      <c r="C48" s="501">
        <v>42857</v>
      </c>
      <c r="D48" s="561" t="s">
        <v>681</v>
      </c>
      <c r="E48" s="279"/>
    </row>
    <row r="49" spans="1:5" x14ac:dyDescent="0.25">
      <c r="A49" s="499" t="s">
        <v>559</v>
      </c>
      <c r="B49" s="552">
        <v>10000</v>
      </c>
      <c r="C49" s="549" t="s">
        <v>677</v>
      </c>
      <c r="D49" s="563"/>
      <c r="E49" s="279"/>
    </row>
    <row r="50" spans="1:5" x14ac:dyDescent="0.25">
      <c r="A50" s="449" t="s">
        <v>576</v>
      </c>
      <c r="B50" s="550">
        <v>14000</v>
      </c>
      <c r="C50" s="551" t="s">
        <v>658</v>
      </c>
      <c r="D50" s="279"/>
      <c r="E50" s="279"/>
    </row>
    <row r="51" spans="1:5" x14ac:dyDescent="0.25">
      <c r="A51" s="449" t="s">
        <v>626</v>
      </c>
      <c r="B51" s="550">
        <v>24000</v>
      </c>
      <c r="C51" s="551" t="s">
        <v>658</v>
      </c>
      <c r="D51" s="279"/>
      <c r="E51" s="279" t="s">
        <v>733</v>
      </c>
    </row>
    <row r="52" spans="1:5" x14ac:dyDescent="0.25">
      <c r="A52" s="449" t="s">
        <v>605</v>
      </c>
      <c r="B52" s="550">
        <v>14000</v>
      </c>
      <c r="C52" s="551" t="s">
        <v>658</v>
      </c>
      <c r="D52" s="279"/>
      <c r="E52" s="279"/>
    </row>
    <row r="53" spans="1:5" x14ac:dyDescent="0.25">
      <c r="A53" s="449" t="s">
        <v>574</v>
      </c>
      <c r="B53" s="550">
        <v>8000</v>
      </c>
      <c r="C53" s="551" t="s">
        <v>659</v>
      </c>
      <c r="D53" s="279"/>
      <c r="E53" s="279"/>
    </row>
    <row r="54" spans="1:5" x14ac:dyDescent="0.25">
      <c r="A54" s="449" t="s">
        <v>490</v>
      </c>
      <c r="B54" s="550">
        <v>45000</v>
      </c>
      <c r="C54" s="551" t="s">
        <v>660</v>
      </c>
      <c r="D54" s="544" t="s">
        <v>667</v>
      </c>
      <c r="E54" s="279" t="s">
        <v>733</v>
      </c>
    </row>
    <row r="55" spans="1:5" x14ac:dyDescent="0.25">
      <c r="A55" s="449" t="s">
        <v>540</v>
      </c>
      <c r="B55" s="550">
        <v>8000</v>
      </c>
      <c r="C55" s="551" t="s">
        <v>661</v>
      </c>
      <c r="D55" s="279"/>
      <c r="E55" s="279"/>
    </row>
    <row r="56" spans="1:5" x14ac:dyDescent="0.25">
      <c r="A56" s="449" t="s">
        <v>538</v>
      </c>
      <c r="B56" s="550">
        <v>6000</v>
      </c>
      <c r="C56" s="551" t="s">
        <v>661</v>
      </c>
      <c r="D56" s="279"/>
      <c r="E56" s="279"/>
    </row>
    <row r="57" spans="1:5" x14ac:dyDescent="0.25">
      <c r="A57" s="449" t="s">
        <v>639</v>
      </c>
      <c r="B57" s="550">
        <v>3000</v>
      </c>
      <c r="C57" s="551" t="s">
        <v>661</v>
      </c>
      <c r="D57" s="279" t="s">
        <v>501</v>
      </c>
      <c r="E57" s="279"/>
    </row>
    <row r="58" spans="1:5" x14ac:dyDescent="0.25">
      <c r="A58" s="449" t="s">
        <v>622</v>
      </c>
      <c r="B58" s="550">
        <v>24000</v>
      </c>
      <c r="C58" s="551" t="s">
        <v>662</v>
      </c>
      <c r="D58" s="279"/>
      <c r="E58" s="279"/>
    </row>
    <row r="59" spans="1:5" x14ac:dyDescent="0.25">
      <c r="A59" s="449" t="s">
        <v>576</v>
      </c>
      <c r="B59" s="550">
        <v>12000</v>
      </c>
      <c r="C59" s="551" t="s">
        <v>663</v>
      </c>
      <c r="D59" s="279"/>
      <c r="E59" s="279"/>
    </row>
    <row r="60" spans="1:5" x14ac:dyDescent="0.25">
      <c r="A60" s="449" t="s">
        <v>576</v>
      </c>
      <c r="B60" s="550">
        <v>29000</v>
      </c>
      <c r="C60" s="551" t="s">
        <v>663</v>
      </c>
      <c r="D60" s="279"/>
      <c r="E60" s="279"/>
    </row>
    <row r="61" spans="1:5" x14ac:dyDescent="0.25">
      <c r="A61" s="449" t="s">
        <v>573</v>
      </c>
      <c r="B61" s="550">
        <v>20000</v>
      </c>
      <c r="C61" s="551" t="s">
        <v>663</v>
      </c>
      <c r="D61" s="279"/>
      <c r="E61" s="279" t="s">
        <v>682</v>
      </c>
    </row>
    <row r="62" spans="1:5" x14ac:dyDescent="0.25">
      <c r="A62" s="449" t="s">
        <v>640</v>
      </c>
      <c r="B62" s="550">
        <v>11000</v>
      </c>
      <c r="C62" s="551" t="s">
        <v>663</v>
      </c>
      <c r="D62" s="279"/>
      <c r="E62" s="279"/>
    </row>
    <row r="63" spans="1:5" x14ac:dyDescent="0.25">
      <c r="A63" s="449" t="s">
        <v>641</v>
      </c>
      <c r="B63" s="550">
        <v>2400</v>
      </c>
      <c r="C63" s="551" t="s">
        <v>663</v>
      </c>
      <c r="D63" s="279"/>
      <c r="E63" s="279"/>
    </row>
    <row r="64" spans="1:5" x14ac:dyDescent="0.25">
      <c r="A64" s="449" t="s">
        <v>642</v>
      </c>
      <c r="B64" s="550">
        <v>56000</v>
      </c>
      <c r="C64" s="551" t="s">
        <v>663</v>
      </c>
      <c r="D64" s="279"/>
      <c r="E64" s="279"/>
    </row>
    <row r="65" spans="1:5" x14ac:dyDescent="0.25">
      <c r="A65" s="449" t="s">
        <v>643</v>
      </c>
      <c r="B65" s="550">
        <v>26000</v>
      </c>
      <c r="C65" s="551" t="s">
        <v>663</v>
      </c>
      <c r="D65" s="544" t="s">
        <v>668</v>
      </c>
      <c r="E65" s="279"/>
    </row>
    <row r="66" spans="1:5" x14ac:dyDescent="0.25">
      <c r="A66" s="546" t="s">
        <v>483</v>
      </c>
      <c r="B66" s="548">
        <v>15000</v>
      </c>
      <c r="C66" s="501" t="s">
        <v>646</v>
      </c>
      <c r="D66" s="279"/>
      <c r="E66" s="279"/>
    </row>
    <row r="67" spans="1:5" x14ac:dyDescent="0.25">
      <c r="A67" s="545" t="s">
        <v>644</v>
      </c>
      <c r="B67" s="548">
        <v>10000</v>
      </c>
      <c r="C67" s="501" t="s">
        <v>646</v>
      </c>
      <c r="D67" s="279"/>
      <c r="E67" s="279"/>
    </row>
    <row r="68" spans="1:5" x14ac:dyDescent="0.25">
      <c r="A68" s="545" t="s">
        <v>645</v>
      </c>
      <c r="B68" s="548">
        <v>5026</v>
      </c>
      <c r="C68" s="501" t="s">
        <v>664</v>
      </c>
      <c r="D68" s="279"/>
      <c r="E68" s="279"/>
    </row>
    <row r="69" spans="1:5" x14ac:dyDescent="0.25">
      <c r="A69" s="545" t="s">
        <v>584</v>
      </c>
      <c r="B69" s="548">
        <v>40000</v>
      </c>
      <c r="C69" s="501" t="s">
        <v>664</v>
      </c>
      <c r="D69" s="279"/>
      <c r="E69" s="279"/>
    </row>
    <row r="70" spans="1:5" x14ac:dyDescent="0.25">
      <c r="A70" s="255" t="s">
        <v>12</v>
      </c>
      <c r="B70" s="504">
        <f>SUM(B26:B69)</f>
        <v>1202730</v>
      </c>
      <c r="C70" s="279"/>
      <c r="D70" s="279"/>
      <c r="E70" s="279"/>
    </row>
  </sheetData>
  <mergeCells count="13">
    <mergeCell ref="A14:D14"/>
    <mergeCell ref="F14:I14"/>
    <mergeCell ref="A24:D24"/>
    <mergeCell ref="F24:I24"/>
    <mergeCell ref="A1:F1"/>
    <mergeCell ref="H1:I1"/>
    <mergeCell ref="A2:A3"/>
    <mergeCell ref="B2:B3"/>
    <mergeCell ref="C2:D2"/>
    <mergeCell ref="E2:E3"/>
    <mergeCell ref="F2:F3"/>
    <mergeCell ref="H2:H3"/>
    <mergeCell ref="I2:I3"/>
  </mergeCells>
  <pageMargins left="0.45" right="0.45" top="0.25" bottom="0" header="0.3" footer="0"/>
  <pageSetup paperSize="9" scale="54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zoomScaleNormal="100" workbookViewId="0">
      <selection activeCell="B5" sqref="B5"/>
    </sheetView>
  </sheetViews>
  <sheetFormatPr defaultRowHeight="15" x14ac:dyDescent="0.25"/>
  <cols>
    <col min="1" max="1" width="14.42578125" style="260" customWidth="1"/>
    <col min="2" max="2" width="13.5703125" style="260" customWidth="1"/>
    <col min="3" max="3" width="12.140625" style="260" customWidth="1"/>
    <col min="4" max="4" width="16.7109375" style="260" customWidth="1"/>
    <col min="5" max="5" width="18" style="260" customWidth="1"/>
    <col min="6" max="6" width="27.42578125" style="260" customWidth="1"/>
    <col min="7" max="7" width="21.5703125" style="260" customWidth="1"/>
    <col min="8" max="9" width="14.5703125" style="260" customWidth="1"/>
    <col min="10" max="16384" width="9.140625" style="260"/>
  </cols>
  <sheetData>
    <row r="1" spans="1:11" ht="31.5" customHeight="1" x14ac:dyDescent="0.25">
      <c r="A1" s="744" t="s">
        <v>607</v>
      </c>
      <c r="B1" s="744"/>
      <c r="C1" s="744"/>
      <c r="D1" s="744"/>
      <c r="E1" s="744"/>
      <c r="F1" s="744"/>
      <c r="H1" s="745" t="s">
        <v>608</v>
      </c>
      <c r="I1" s="745"/>
    </row>
    <row r="2" spans="1:11" ht="19.5" customHeight="1" x14ac:dyDescent="0.25">
      <c r="A2" s="754" t="s">
        <v>7</v>
      </c>
      <c r="B2" s="754" t="s">
        <v>47</v>
      </c>
      <c r="C2" s="754" t="s">
        <v>199</v>
      </c>
      <c r="D2" s="754"/>
      <c r="E2" s="755" t="s">
        <v>32</v>
      </c>
      <c r="F2" s="754" t="s">
        <v>591</v>
      </c>
      <c r="H2" s="754" t="s">
        <v>7</v>
      </c>
      <c r="I2" s="754" t="s">
        <v>47</v>
      </c>
    </row>
    <row r="3" spans="1:11" ht="19.5" customHeight="1" x14ac:dyDescent="0.25">
      <c r="A3" s="754"/>
      <c r="B3" s="754"/>
      <c r="C3" s="530" t="s">
        <v>5</v>
      </c>
      <c r="D3" s="530" t="s">
        <v>152</v>
      </c>
      <c r="E3" s="756"/>
      <c r="F3" s="754"/>
      <c r="H3" s="754"/>
      <c r="I3" s="754"/>
    </row>
    <row r="4" spans="1:11" x14ac:dyDescent="0.25">
      <c r="A4" s="262" t="s">
        <v>11</v>
      </c>
      <c r="B4" s="264">
        <v>1102002</v>
      </c>
      <c r="C4" s="264">
        <v>141000</v>
      </c>
      <c r="D4" s="264">
        <v>478900</v>
      </c>
      <c r="E4" s="221">
        <f>+B4-(C4+D4)</f>
        <v>482102</v>
      </c>
      <c r="F4" s="235"/>
      <c r="H4" s="262" t="s">
        <v>11</v>
      </c>
      <c r="I4" s="264">
        <v>1102002</v>
      </c>
    </row>
    <row r="5" spans="1:11" x14ac:dyDescent="0.25">
      <c r="A5" s="262" t="s">
        <v>17</v>
      </c>
      <c r="B5" s="262">
        <v>72269</v>
      </c>
      <c r="C5" s="262">
        <v>44205</v>
      </c>
      <c r="D5" s="262">
        <v>28064</v>
      </c>
      <c r="E5" s="221">
        <f t="shared" ref="E5:E10" si="0">+B5-(C5+D5)</f>
        <v>0</v>
      </c>
      <c r="F5" s="36"/>
      <c r="H5" s="262" t="s">
        <v>17</v>
      </c>
      <c r="I5" s="262">
        <v>72269</v>
      </c>
    </row>
    <row r="6" spans="1:11" x14ac:dyDescent="0.25">
      <c r="A6" s="262" t="s">
        <v>24</v>
      </c>
      <c r="B6" s="264">
        <v>75928</v>
      </c>
      <c r="C6" s="264">
        <v>75928</v>
      </c>
      <c r="D6" s="264"/>
      <c r="E6" s="221">
        <f t="shared" si="0"/>
        <v>0</v>
      </c>
      <c r="F6" s="36"/>
      <c r="H6" s="262" t="s">
        <v>24</v>
      </c>
      <c r="I6" s="264">
        <v>75928</v>
      </c>
    </row>
    <row r="7" spans="1:11" x14ac:dyDescent="0.25">
      <c r="A7" s="262" t="s">
        <v>42</v>
      </c>
      <c r="B7" s="262">
        <v>707916</v>
      </c>
      <c r="C7" s="262">
        <v>387916</v>
      </c>
      <c r="D7" s="262"/>
      <c r="E7" s="221">
        <f t="shared" si="0"/>
        <v>320000</v>
      </c>
      <c r="F7" s="37"/>
      <c r="H7" s="262" t="s">
        <v>42</v>
      </c>
      <c r="I7" s="262">
        <v>527916</v>
      </c>
    </row>
    <row r="8" spans="1:11" x14ac:dyDescent="0.25">
      <c r="A8" s="262" t="s">
        <v>29</v>
      </c>
      <c r="B8" s="262">
        <v>41302</v>
      </c>
      <c r="C8" s="262">
        <v>41302</v>
      </c>
      <c r="D8" s="262"/>
      <c r="E8" s="221">
        <f t="shared" si="0"/>
        <v>0</v>
      </c>
      <c r="F8" s="248"/>
      <c r="H8" s="262" t="s">
        <v>29</v>
      </c>
      <c r="I8" s="262">
        <v>41302</v>
      </c>
    </row>
    <row r="9" spans="1:11" x14ac:dyDescent="0.25">
      <c r="A9" s="262" t="s">
        <v>260</v>
      </c>
      <c r="B9" s="262">
        <v>46000</v>
      </c>
      <c r="C9" s="262"/>
      <c r="D9" s="262">
        <v>46000</v>
      </c>
      <c r="E9" s="221">
        <f t="shared" si="0"/>
        <v>0</v>
      </c>
      <c r="F9" s="251"/>
      <c r="H9" s="262" t="s">
        <v>260</v>
      </c>
      <c r="I9" s="262">
        <v>46000</v>
      </c>
    </row>
    <row r="10" spans="1:11" x14ac:dyDescent="0.25">
      <c r="A10" s="262" t="s">
        <v>332</v>
      </c>
      <c r="B10" s="262">
        <v>23389</v>
      </c>
      <c r="C10" s="262">
        <v>23389</v>
      </c>
      <c r="D10" s="262"/>
      <c r="E10" s="221">
        <f t="shared" si="0"/>
        <v>0</v>
      </c>
      <c r="F10" s="248"/>
      <c r="H10" s="262" t="s">
        <v>332</v>
      </c>
      <c r="I10" s="262">
        <v>23389</v>
      </c>
    </row>
    <row r="11" spans="1:11" x14ac:dyDescent="0.25">
      <c r="A11" s="530" t="s">
        <v>12</v>
      </c>
      <c r="B11" s="250">
        <f>SUM(B4:B10)</f>
        <v>2068806</v>
      </c>
      <c r="C11" s="250">
        <f>SUM(C4:C10)</f>
        <v>713740</v>
      </c>
      <c r="D11" s="250">
        <f>SUM(D4:D9)</f>
        <v>552964</v>
      </c>
      <c r="E11" s="162">
        <f>SUM(E4:E10)</f>
        <v>802102</v>
      </c>
      <c r="F11" s="505">
        <f>+C11+D11</f>
        <v>1266704</v>
      </c>
      <c r="H11" s="536" t="s">
        <v>12</v>
      </c>
      <c r="I11" s="250">
        <f>SUM(I4:I10)</f>
        <v>1888806</v>
      </c>
    </row>
    <row r="13" spans="1:11" ht="13.5" customHeight="1" x14ac:dyDescent="0.25">
      <c r="A13" s="3"/>
      <c r="B13" s="528"/>
      <c r="C13" s="325"/>
      <c r="D13" s="528"/>
      <c r="E13" s="531"/>
      <c r="G13" s="528"/>
      <c r="H13" s="528"/>
      <c r="I13" s="528"/>
      <c r="J13" s="528"/>
      <c r="K13" s="531"/>
    </row>
    <row r="14" spans="1:11" ht="13.5" customHeight="1" x14ac:dyDescent="0.25">
      <c r="A14" s="752" t="s">
        <v>476</v>
      </c>
      <c r="B14" s="752"/>
      <c r="C14" s="752"/>
      <c r="D14" s="752"/>
      <c r="E14" s="531"/>
      <c r="F14" s="743"/>
      <c r="G14" s="743"/>
      <c r="H14" s="743"/>
      <c r="I14" s="743"/>
      <c r="J14" s="528"/>
      <c r="K14" s="531"/>
    </row>
    <row r="15" spans="1:11" ht="13.5" customHeight="1" x14ac:dyDescent="0.25">
      <c r="A15" s="455" t="s">
        <v>8</v>
      </c>
      <c r="B15" s="455" t="s">
        <v>498</v>
      </c>
      <c r="C15" s="456" t="s">
        <v>499</v>
      </c>
      <c r="D15" s="455"/>
      <c r="E15" s="316"/>
      <c r="F15" s="486"/>
      <c r="G15" s="486"/>
      <c r="H15" s="487"/>
      <c r="I15" s="486"/>
      <c r="J15" s="322"/>
      <c r="K15" s="316"/>
    </row>
    <row r="16" spans="1:11" x14ac:dyDescent="0.25">
      <c r="A16" s="13" t="s">
        <v>481</v>
      </c>
      <c r="B16" s="13">
        <v>170000</v>
      </c>
      <c r="C16" s="439">
        <v>42745</v>
      </c>
      <c r="D16" s="527"/>
      <c r="E16" s="3"/>
      <c r="F16" s="6"/>
      <c r="G16" s="6"/>
      <c r="H16" s="488"/>
      <c r="I16" s="528"/>
      <c r="J16" s="2"/>
      <c r="K16" s="3"/>
    </row>
    <row r="17" spans="1:11" x14ac:dyDescent="0.25">
      <c r="A17" s="471" t="s">
        <v>629</v>
      </c>
      <c r="B17" s="471">
        <v>50000</v>
      </c>
      <c r="C17" s="472">
        <v>42384</v>
      </c>
      <c r="D17" s="537"/>
      <c r="E17" s="3"/>
      <c r="F17" s="6"/>
      <c r="G17" s="6"/>
      <c r="H17" s="488"/>
      <c r="I17" s="538"/>
      <c r="J17" s="2"/>
      <c r="K17" s="3"/>
    </row>
    <row r="18" spans="1:11" x14ac:dyDescent="0.25">
      <c r="A18" s="471" t="s">
        <v>630</v>
      </c>
      <c r="B18" s="471">
        <v>60000</v>
      </c>
      <c r="C18" s="472">
        <v>42385</v>
      </c>
      <c r="D18" s="537"/>
      <c r="E18" s="3"/>
      <c r="F18" s="6"/>
      <c r="G18" s="6"/>
      <c r="H18" s="488"/>
      <c r="I18" s="538"/>
      <c r="J18" s="2"/>
      <c r="K18" s="3"/>
    </row>
    <row r="19" spans="1:11" x14ac:dyDescent="0.25">
      <c r="A19" s="471"/>
      <c r="B19" s="471"/>
      <c r="C19" s="472"/>
      <c r="D19" s="527"/>
      <c r="E19" s="3"/>
      <c r="F19" s="6"/>
      <c r="G19" s="6"/>
      <c r="H19" s="488"/>
      <c r="I19" s="2"/>
      <c r="J19" s="2"/>
      <c r="K19" s="3"/>
    </row>
    <row r="20" spans="1:11" x14ac:dyDescent="0.25">
      <c r="A20" s="442" t="s">
        <v>12</v>
      </c>
      <c r="B20" s="442">
        <f>SUM(B15:B19)</f>
        <v>280000</v>
      </c>
      <c r="C20" s="438"/>
      <c r="D20" s="438"/>
      <c r="E20" s="3"/>
      <c r="F20" s="489"/>
      <c r="G20" s="489"/>
      <c r="H20" s="454"/>
      <c r="I20" s="454"/>
      <c r="J20" s="3"/>
    </row>
    <row r="21" spans="1:11" x14ac:dyDescent="0.25">
      <c r="A21" s="322"/>
      <c r="B21" s="528"/>
      <c r="C21" s="454"/>
      <c r="D21" s="454"/>
      <c r="E21" s="3"/>
      <c r="F21" s="3"/>
      <c r="G21" s="3"/>
      <c r="H21" s="3"/>
      <c r="I21" s="3"/>
      <c r="J21" s="3"/>
    </row>
    <row r="22" spans="1:11" x14ac:dyDescent="0.25">
      <c r="A22" s="322"/>
      <c r="B22" s="528"/>
      <c r="C22" s="454"/>
      <c r="D22" s="454"/>
      <c r="E22" s="3"/>
    </row>
    <row r="23" spans="1:11" x14ac:dyDescent="0.25">
      <c r="A23" s="752" t="s">
        <v>477</v>
      </c>
      <c r="B23" s="752"/>
      <c r="C23" s="752"/>
      <c r="D23" s="753"/>
      <c r="E23" s="513"/>
      <c r="F23" s="743"/>
      <c r="G23" s="743"/>
      <c r="H23" s="743"/>
      <c r="I23" s="743"/>
    </row>
    <row r="24" spans="1:11" ht="15.75" x14ac:dyDescent="0.25">
      <c r="A24" s="455" t="s">
        <v>8</v>
      </c>
      <c r="B24" s="455" t="s">
        <v>498</v>
      </c>
      <c r="C24" s="456" t="s">
        <v>499</v>
      </c>
      <c r="D24" s="506"/>
      <c r="E24" s="513"/>
      <c r="F24" s="486"/>
      <c r="G24" s="486"/>
      <c r="H24" s="487"/>
      <c r="I24" s="486"/>
    </row>
    <row r="25" spans="1:11" x14ac:dyDescent="0.25">
      <c r="A25" s="501" t="s">
        <v>532</v>
      </c>
      <c r="B25" s="500">
        <v>51500</v>
      </c>
      <c r="C25" s="501" t="s">
        <v>617</v>
      </c>
      <c r="D25" s="529"/>
      <c r="E25" s="513"/>
      <c r="F25" s="6"/>
      <c r="G25" s="6"/>
      <c r="H25" s="488"/>
      <c r="I25" s="528"/>
    </row>
    <row r="26" spans="1:11" x14ac:dyDescent="0.25">
      <c r="A26" s="499" t="s">
        <v>534</v>
      </c>
      <c r="B26" s="500">
        <v>70000</v>
      </c>
      <c r="C26" s="501" t="s">
        <v>617</v>
      </c>
      <c r="D26" s="535" t="s">
        <v>495</v>
      </c>
      <c r="E26" s="513"/>
      <c r="F26" s="6"/>
      <c r="G26" s="6"/>
      <c r="H26" s="488"/>
      <c r="I26" s="2"/>
    </row>
    <row r="27" spans="1:11" x14ac:dyDescent="0.25">
      <c r="A27" s="501" t="s">
        <v>532</v>
      </c>
      <c r="B27" s="500">
        <v>40500</v>
      </c>
      <c r="C27" s="501" t="s">
        <v>618</v>
      </c>
      <c r="D27" s="529" t="s">
        <v>623</v>
      </c>
      <c r="E27" s="513"/>
      <c r="F27" s="6"/>
      <c r="G27" s="6"/>
      <c r="H27" s="488"/>
      <c r="I27" s="2"/>
    </row>
    <row r="28" spans="1:11" x14ac:dyDescent="0.25">
      <c r="A28" s="499" t="s">
        <v>534</v>
      </c>
      <c r="B28" s="500">
        <v>45000</v>
      </c>
      <c r="C28" s="501" t="s">
        <v>618</v>
      </c>
      <c r="D28" s="535" t="s">
        <v>619</v>
      </c>
      <c r="E28" s="513"/>
      <c r="F28" s="6"/>
      <c r="G28" s="6"/>
      <c r="H28" s="488"/>
      <c r="I28" s="2"/>
    </row>
    <row r="29" spans="1:11" x14ac:dyDescent="0.25">
      <c r="A29" s="499" t="s">
        <v>535</v>
      </c>
      <c r="B29" s="503">
        <v>11500</v>
      </c>
      <c r="C29" s="501">
        <v>42856</v>
      </c>
      <c r="D29" s="529"/>
      <c r="E29" s="513"/>
      <c r="F29" s="6"/>
      <c r="G29" s="6"/>
      <c r="H29" s="488"/>
      <c r="I29" s="528"/>
    </row>
    <row r="30" spans="1:11" x14ac:dyDescent="0.25">
      <c r="A30" s="499" t="s">
        <v>119</v>
      </c>
      <c r="B30" s="500">
        <v>39500</v>
      </c>
      <c r="C30" s="501">
        <v>42856</v>
      </c>
      <c r="D30" s="529"/>
      <c r="E30" s="513"/>
      <c r="F30" s="6"/>
      <c r="G30" s="6"/>
      <c r="H30" s="488"/>
      <c r="I30" s="528"/>
    </row>
    <row r="31" spans="1:11" ht="16.5" customHeight="1" x14ac:dyDescent="0.25">
      <c r="A31" s="499" t="s">
        <v>119</v>
      </c>
      <c r="B31" s="500">
        <v>14500</v>
      </c>
      <c r="C31" s="501">
        <v>42856</v>
      </c>
      <c r="D31" s="529"/>
      <c r="E31" s="513"/>
      <c r="F31" s="6"/>
      <c r="G31" s="6"/>
      <c r="H31" s="488"/>
      <c r="I31" s="2"/>
    </row>
    <row r="32" spans="1:11" x14ac:dyDescent="0.25">
      <c r="A32" s="499" t="s">
        <v>535</v>
      </c>
      <c r="B32" s="500">
        <v>12500</v>
      </c>
      <c r="C32" s="501">
        <v>43070</v>
      </c>
      <c r="D32" s="529"/>
      <c r="E32" s="513"/>
    </row>
    <row r="33" spans="1:5" x14ac:dyDescent="0.25">
      <c r="A33" s="499" t="s">
        <v>535</v>
      </c>
      <c r="B33" s="500">
        <v>2000</v>
      </c>
      <c r="C33" s="501" t="s">
        <v>620</v>
      </c>
      <c r="D33" s="529"/>
      <c r="E33" s="513"/>
    </row>
    <row r="34" spans="1:5" x14ac:dyDescent="0.25">
      <c r="A34" s="499" t="s">
        <v>119</v>
      </c>
      <c r="B34" s="500">
        <v>131000</v>
      </c>
      <c r="C34" s="501" t="s">
        <v>620</v>
      </c>
      <c r="E34" s="513" t="s">
        <v>732</v>
      </c>
    </row>
    <row r="35" spans="1:5" x14ac:dyDescent="0.25">
      <c r="A35" s="499" t="s">
        <v>624</v>
      </c>
      <c r="B35" s="500">
        <v>21102</v>
      </c>
      <c r="C35" s="501">
        <v>42767</v>
      </c>
      <c r="D35" s="535" t="s">
        <v>625</v>
      </c>
      <c r="E35" s="539" t="s">
        <v>628</v>
      </c>
    </row>
    <row r="36" spans="1:5" x14ac:dyDescent="0.25">
      <c r="A36" s="451" t="s">
        <v>539</v>
      </c>
      <c r="B36" s="500">
        <v>3000</v>
      </c>
      <c r="C36" s="501" t="s">
        <v>621</v>
      </c>
      <c r="D36" s="529"/>
      <c r="E36" s="513"/>
    </row>
    <row r="37" spans="1:5" ht="14.25" customHeight="1" x14ac:dyDescent="0.25">
      <c r="A37" s="499" t="s">
        <v>622</v>
      </c>
      <c r="B37" s="500">
        <v>40000</v>
      </c>
      <c r="C37" s="501" t="s">
        <v>621</v>
      </c>
      <c r="D37" s="529"/>
      <c r="E37" s="513"/>
    </row>
    <row r="38" spans="1:5" ht="14.25" customHeight="1" x14ac:dyDescent="0.25">
      <c r="A38" s="499"/>
      <c r="B38" s="500"/>
      <c r="C38" s="501"/>
      <c r="D38" s="535"/>
      <c r="E38" s="513"/>
    </row>
    <row r="39" spans="1:5" x14ac:dyDescent="0.25">
      <c r="A39" s="255" t="s">
        <v>12</v>
      </c>
      <c r="B39" s="504">
        <f>SUM(B25:B37)</f>
        <v>482102</v>
      </c>
      <c r="C39" s="279"/>
      <c r="D39" s="510"/>
      <c r="E39" s="279"/>
    </row>
  </sheetData>
  <mergeCells count="13">
    <mergeCell ref="A14:D14"/>
    <mergeCell ref="F14:I14"/>
    <mergeCell ref="A23:D23"/>
    <mergeCell ref="F23:I23"/>
    <mergeCell ref="A1:F1"/>
    <mergeCell ref="H1:I1"/>
    <mergeCell ref="A2:A3"/>
    <mergeCell ref="B2:B3"/>
    <mergeCell ref="C2:D2"/>
    <mergeCell ref="E2:E3"/>
    <mergeCell ref="F2:F3"/>
    <mergeCell ref="H2:H3"/>
    <mergeCell ref="I2:I3"/>
  </mergeCells>
  <pageMargins left="0.45" right="0.45" top="0.25" bottom="0" header="0.3" footer="0"/>
  <pageSetup paperSize="9" scale="6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zoomScaleNormal="100" workbookViewId="0">
      <selection activeCell="B4" sqref="B4"/>
    </sheetView>
  </sheetViews>
  <sheetFormatPr defaultRowHeight="15" x14ac:dyDescent="0.25"/>
  <cols>
    <col min="1" max="1" width="14.42578125" style="260" customWidth="1"/>
    <col min="2" max="2" width="13.5703125" style="260" customWidth="1"/>
    <col min="3" max="3" width="12.140625" style="260" customWidth="1"/>
    <col min="4" max="4" width="16.7109375" style="260" customWidth="1"/>
    <col min="5" max="5" width="16.140625" style="260" customWidth="1"/>
    <col min="6" max="6" width="27.42578125" style="260" customWidth="1"/>
    <col min="7" max="7" width="21.5703125" style="260" customWidth="1"/>
    <col min="8" max="9" width="14.5703125" style="260" customWidth="1"/>
    <col min="10" max="16384" width="9.140625" style="260"/>
  </cols>
  <sheetData>
    <row r="1" spans="1:11" ht="31.5" customHeight="1" x14ac:dyDescent="0.25">
      <c r="A1" s="744" t="s">
        <v>589</v>
      </c>
      <c r="B1" s="744"/>
      <c r="C1" s="744"/>
      <c r="D1" s="744"/>
      <c r="E1" s="744"/>
      <c r="F1" s="744"/>
      <c r="H1" s="745" t="s">
        <v>590</v>
      </c>
      <c r="I1" s="745"/>
    </row>
    <row r="2" spans="1:11" ht="19.5" customHeight="1" x14ac:dyDescent="0.25">
      <c r="A2" s="754" t="s">
        <v>7</v>
      </c>
      <c r="B2" s="754" t="s">
        <v>47</v>
      </c>
      <c r="C2" s="754" t="s">
        <v>199</v>
      </c>
      <c r="D2" s="754"/>
      <c r="E2" s="755" t="s">
        <v>32</v>
      </c>
      <c r="F2" s="754" t="s">
        <v>591</v>
      </c>
      <c r="H2" s="754" t="s">
        <v>7</v>
      </c>
      <c r="I2" s="754" t="s">
        <v>47</v>
      </c>
    </row>
    <row r="3" spans="1:11" ht="19.5" customHeight="1" x14ac:dyDescent="0.25">
      <c r="A3" s="754"/>
      <c r="B3" s="754"/>
      <c r="C3" s="496" t="s">
        <v>5</v>
      </c>
      <c r="D3" s="496" t="s">
        <v>152</v>
      </c>
      <c r="E3" s="756"/>
      <c r="F3" s="754"/>
      <c r="H3" s="754"/>
      <c r="I3" s="754"/>
    </row>
    <row r="4" spans="1:11" x14ac:dyDescent="0.25">
      <c r="A4" s="262" t="s">
        <v>11</v>
      </c>
      <c r="B4" s="264">
        <v>1604741</v>
      </c>
      <c r="C4" s="264">
        <v>129050</v>
      </c>
      <c r="D4" s="264">
        <v>416000</v>
      </c>
      <c r="E4" s="221">
        <f>+B4-(C4+D4)</f>
        <v>1059691</v>
      </c>
      <c r="F4" s="235"/>
      <c r="H4" s="262" t="s">
        <v>11</v>
      </c>
      <c r="I4" s="264">
        <v>1564741</v>
      </c>
    </row>
    <row r="5" spans="1:11" x14ac:dyDescent="0.25">
      <c r="A5" s="262" t="s">
        <v>17</v>
      </c>
      <c r="B5" s="262">
        <v>152231</v>
      </c>
      <c r="C5" s="262">
        <v>69816</v>
      </c>
      <c r="D5" s="262">
        <v>82415</v>
      </c>
      <c r="E5" s="221">
        <f t="shared" ref="E5:E10" si="0">+B5-(C5+D5)</f>
        <v>0</v>
      </c>
      <c r="F5" s="36"/>
      <c r="H5" s="262" t="s">
        <v>17</v>
      </c>
      <c r="I5" s="262">
        <v>152231</v>
      </c>
    </row>
    <row r="6" spans="1:11" x14ac:dyDescent="0.25">
      <c r="A6" s="262" t="s">
        <v>24</v>
      </c>
      <c r="B6" s="264">
        <v>96254</v>
      </c>
      <c r="C6" s="264">
        <v>96254</v>
      </c>
      <c r="D6" s="264"/>
      <c r="E6" s="221">
        <f t="shared" si="0"/>
        <v>0</v>
      </c>
      <c r="F6" s="36"/>
      <c r="H6" s="262" t="s">
        <v>24</v>
      </c>
      <c r="I6" s="264">
        <v>90254</v>
      </c>
    </row>
    <row r="7" spans="1:11" x14ac:dyDescent="0.25">
      <c r="A7" s="262" t="s">
        <v>42</v>
      </c>
      <c r="B7" s="262">
        <v>519051</v>
      </c>
      <c r="C7" s="262">
        <v>369051</v>
      </c>
      <c r="D7" s="262"/>
      <c r="E7" s="221">
        <f t="shared" si="0"/>
        <v>150000</v>
      </c>
      <c r="F7" s="37"/>
      <c r="H7" s="262" t="s">
        <v>42</v>
      </c>
      <c r="I7" s="262">
        <v>519051</v>
      </c>
    </row>
    <row r="8" spans="1:11" x14ac:dyDescent="0.25">
      <c r="A8" s="262" t="s">
        <v>29</v>
      </c>
      <c r="B8" s="262">
        <v>31085</v>
      </c>
      <c r="C8" s="262">
        <v>31085</v>
      </c>
      <c r="D8" s="262"/>
      <c r="E8" s="221">
        <f t="shared" si="0"/>
        <v>0</v>
      </c>
      <c r="F8" s="248"/>
      <c r="H8" s="262" t="s">
        <v>29</v>
      </c>
      <c r="I8" s="262">
        <v>31085</v>
      </c>
    </row>
    <row r="9" spans="1:11" x14ac:dyDescent="0.25">
      <c r="A9" s="262" t="s">
        <v>260</v>
      </c>
      <c r="B9" s="262">
        <v>52142</v>
      </c>
      <c r="C9" s="262"/>
      <c r="D9" s="262">
        <v>52142</v>
      </c>
      <c r="E9" s="221">
        <f t="shared" si="0"/>
        <v>0</v>
      </c>
      <c r="F9" s="251"/>
      <c r="H9" s="262" t="s">
        <v>260</v>
      </c>
      <c r="I9" s="262">
        <v>52142</v>
      </c>
    </row>
    <row r="10" spans="1:11" x14ac:dyDescent="0.25">
      <c r="A10" s="262" t="s">
        <v>332</v>
      </c>
      <c r="B10" s="262">
        <v>2818</v>
      </c>
      <c r="C10" s="262">
        <v>2818</v>
      </c>
      <c r="D10" s="262"/>
      <c r="E10" s="221">
        <f t="shared" si="0"/>
        <v>0</v>
      </c>
      <c r="F10" s="248"/>
      <c r="H10" s="262" t="s">
        <v>332</v>
      </c>
      <c r="I10" s="262">
        <v>2818</v>
      </c>
    </row>
    <row r="11" spans="1:11" x14ac:dyDescent="0.25">
      <c r="A11" s="496" t="s">
        <v>12</v>
      </c>
      <c r="B11" s="250">
        <f>SUM(B4:B10)</f>
        <v>2458322</v>
      </c>
      <c r="C11" s="250">
        <f>SUM(C4:C10)</f>
        <v>698074</v>
      </c>
      <c r="D11" s="250">
        <f>SUM(D4:D9)</f>
        <v>550557</v>
      </c>
      <c r="E11" s="162">
        <f>SUM(E4:E10)</f>
        <v>1209691</v>
      </c>
      <c r="F11" s="505">
        <f>+C11+D11</f>
        <v>1248631</v>
      </c>
      <c r="H11" s="497" t="s">
        <v>12</v>
      </c>
      <c r="I11" s="250">
        <f>SUM(I4:I10)</f>
        <v>2412322</v>
      </c>
    </row>
    <row r="13" spans="1:11" ht="13.5" customHeight="1" x14ac:dyDescent="0.25">
      <c r="A13" s="3"/>
      <c r="B13" s="494"/>
      <c r="C13" s="325"/>
      <c r="D13" s="494"/>
      <c r="E13" s="495"/>
      <c r="G13" s="494"/>
      <c r="H13" s="494"/>
      <c r="I13" s="494"/>
      <c r="J13" s="494"/>
      <c r="K13" s="495"/>
    </row>
    <row r="14" spans="1:11" ht="13.5" customHeight="1" x14ac:dyDescent="0.25">
      <c r="A14" s="752" t="s">
        <v>476</v>
      </c>
      <c r="B14" s="752"/>
      <c r="C14" s="752"/>
      <c r="D14" s="752"/>
      <c r="E14" s="495"/>
      <c r="F14" s="743"/>
      <c r="G14" s="743"/>
      <c r="H14" s="743"/>
      <c r="I14" s="743"/>
      <c r="J14" s="494"/>
      <c r="K14" s="495"/>
    </row>
    <row r="15" spans="1:11" ht="13.5" customHeight="1" x14ac:dyDescent="0.25">
      <c r="A15" s="455" t="s">
        <v>8</v>
      </c>
      <c r="B15" s="455" t="s">
        <v>498</v>
      </c>
      <c r="C15" s="456" t="s">
        <v>499</v>
      </c>
      <c r="D15" s="455"/>
      <c r="E15" s="316"/>
      <c r="F15" s="486"/>
      <c r="G15" s="486"/>
      <c r="H15" s="487"/>
      <c r="I15" s="486"/>
      <c r="J15" s="322"/>
      <c r="K15" s="316"/>
    </row>
    <row r="16" spans="1:11" x14ac:dyDescent="0.25">
      <c r="A16" s="13" t="s">
        <v>481</v>
      </c>
      <c r="B16" s="13">
        <v>150000</v>
      </c>
      <c r="C16" s="439">
        <v>42722</v>
      </c>
      <c r="D16" s="493"/>
      <c r="E16" s="3"/>
      <c r="F16" s="6"/>
      <c r="G16" s="6"/>
      <c r="H16" s="488"/>
      <c r="I16" s="494"/>
      <c r="J16" s="2"/>
      <c r="K16" s="3"/>
    </row>
    <row r="17" spans="1:11" x14ac:dyDescent="0.25">
      <c r="A17" s="471"/>
      <c r="B17" s="471"/>
      <c r="C17" s="472"/>
      <c r="D17" s="493"/>
      <c r="E17" s="3"/>
      <c r="F17" s="6"/>
      <c r="G17" s="6"/>
      <c r="H17" s="488"/>
      <c r="I17" s="2"/>
      <c r="J17" s="2"/>
      <c r="K17" s="3"/>
    </row>
    <row r="18" spans="1:11" x14ac:dyDescent="0.25">
      <c r="A18" s="442" t="s">
        <v>12</v>
      </c>
      <c r="B18" s="442">
        <f>SUM(B15:B17)</f>
        <v>150000</v>
      </c>
      <c r="C18" s="438"/>
      <c r="D18" s="438"/>
      <c r="E18" s="3"/>
      <c r="F18" s="489"/>
      <c r="G18" s="489"/>
      <c r="H18" s="454"/>
      <c r="I18" s="454"/>
      <c r="J18" s="3"/>
    </row>
    <row r="19" spans="1:11" x14ac:dyDescent="0.25">
      <c r="A19" s="322"/>
      <c r="B19" s="494"/>
      <c r="C19" s="454"/>
      <c r="D19" s="454"/>
      <c r="E19" s="3"/>
      <c r="F19" s="3"/>
      <c r="G19" s="3"/>
      <c r="H19" s="3"/>
      <c r="I19" s="3"/>
      <c r="J19" s="3"/>
    </row>
    <row r="20" spans="1:11" x14ac:dyDescent="0.25">
      <c r="A20" s="322"/>
      <c r="B20" s="494"/>
      <c r="C20" s="454"/>
      <c r="D20" s="454"/>
      <c r="E20" s="3"/>
    </row>
    <row r="21" spans="1:11" x14ac:dyDescent="0.25">
      <c r="A21" s="752" t="s">
        <v>477</v>
      </c>
      <c r="B21" s="752"/>
      <c r="C21" s="752"/>
      <c r="D21" s="753"/>
      <c r="E21" s="513"/>
      <c r="F21" s="743"/>
      <c r="G21" s="743"/>
      <c r="H21" s="743"/>
      <c r="I21" s="743"/>
    </row>
    <row r="22" spans="1:11" ht="15.75" x14ac:dyDescent="0.25">
      <c r="A22" s="455" t="s">
        <v>8</v>
      </c>
      <c r="B22" s="455" t="s">
        <v>498</v>
      </c>
      <c r="C22" s="456" t="s">
        <v>499</v>
      </c>
      <c r="D22" s="506"/>
      <c r="E22" s="513"/>
      <c r="F22" s="486"/>
      <c r="G22" s="486"/>
      <c r="H22" s="487"/>
      <c r="I22" s="486"/>
    </row>
    <row r="23" spans="1:11" x14ac:dyDescent="0.25">
      <c r="A23" s="499" t="s">
        <v>534</v>
      </c>
      <c r="B23" s="500">
        <v>60000</v>
      </c>
      <c r="C23" s="501" t="s">
        <v>547</v>
      </c>
      <c r="D23" s="507" t="s">
        <v>495</v>
      </c>
      <c r="E23" s="513"/>
      <c r="F23" s="6"/>
      <c r="G23" s="6"/>
      <c r="H23" s="488"/>
      <c r="I23" s="498"/>
    </row>
    <row r="24" spans="1:11" x14ac:dyDescent="0.25">
      <c r="A24" s="499" t="s">
        <v>548</v>
      </c>
      <c r="B24" s="500">
        <v>25500</v>
      </c>
      <c r="C24" s="501" t="s">
        <v>549</v>
      </c>
      <c r="D24" s="507"/>
      <c r="E24" s="513"/>
      <c r="F24" s="6"/>
      <c r="G24" s="6"/>
      <c r="H24" s="488"/>
      <c r="I24" s="2"/>
    </row>
    <row r="25" spans="1:11" x14ac:dyDescent="0.25">
      <c r="A25" s="502" t="s">
        <v>550</v>
      </c>
      <c r="B25" s="500">
        <v>67242</v>
      </c>
      <c r="C25" s="501" t="s">
        <v>551</v>
      </c>
      <c r="D25" s="507" t="s">
        <v>586</v>
      </c>
      <c r="E25" s="513" t="s">
        <v>592</v>
      </c>
      <c r="F25" s="6"/>
      <c r="G25" s="6"/>
      <c r="H25" s="488"/>
      <c r="I25" s="2"/>
    </row>
    <row r="26" spans="1:11" x14ac:dyDescent="0.25">
      <c r="A26" s="501" t="s">
        <v>532</v>
      </c>
      <c r="B26" s="503">
        <v>53500</v>
      </c>
      <c r="C26" s="501" t="s">
        <v>552</v>
      </c>
      <c r="D26" s="507"/>
      <c r="E26" s="513"/>
      <c r="F26" s="6"/>
      <c r="G26" s="6"/>
      <c r="H26" s="488"/>
      <c r="I26" s="498"/>
    </row>
    <row r="27" spans="1:11" x14ac:dyDescent="0.25">
      <c r="A27" s="499" t="s">
        <v>514</v>
      </c>
      <c r="B27" s="500">
        <v>7500</v>
      </c>
      <c r="C27" s="501" t="s">
        <v>553</v>
      </c>
      <c r="D27" s="507"/>
      <c r="E27" s="513" t="s">
        <v>593</v>
      </c>
      <c r="F27" s="6"/>
      <c r="G27" s="6"/>
      <c r="H27" s="488"/>
      <c r="I27" s="498"/>
    </row>
    <row r="28" spans="1:11" x14ac:dyDescent="0.25">
      <c r="A28" s="499" t="s">
        <v>554</v>
      </c>
      <c r="B28" s="500">
        <v>34300</v>
      </c>
      <c r="C28" s="501" t="s">
        <v>555</v>
      </c>
      <c r="D28" s="507"/>
      <c r="E28" s="513" t="s">
        <v>593</v>
      </c>
      <c r="F28" s="6"/>
      <c r="G28" s="6"/>
      <c r="H28" s="488"/>
      <c r="I28" s="2"/>
    </row>
    <row r="29" spans="1:11" x14ac:dyDescent="0.25">
      <c r="A29" s="499" t="s">
        <v>556</v>
      </c>
      <c r="B29" s="500">
        <v>18500</v>
      </c>
      <c r="C29" s="501" t="s">
        <v>555</v>
      </c>
      <c r="D29" s="507"/>
      <c r="E29" s="513" t="s">
        <v>594</v>
      </c>
    </row>
    <row r="30" spans="1:11" x14ac:dyDescent="0.25">
      <c r="A30" s="499" t="s">
        <v>119</v>
      </c>
      <c r="B30" s="500">
        <v>55500</v>
      </c>
      <c r="C30" s="501" t="s">
        <v>555</v>
      </c>
      <c r="D30" s="507"/>
      <c r="E30" s="513"/>
    </row>
    <row r="31" spans="1:11" x14ac:dyDescent="0.25">
      <c r="A31" s="499" t="s">
        <v>535</v>
      </c>
      <c r="B31" s="500">
        <v>25000</v>
      </c>
      <c r="C31" s="501" t="s">
        <v>555</v>
      </c>
      <c r="D31" s="507"/>
      <c r="E31" s="513"/>
    </row>
    <row r="32" spans="1:11" x14ac:dyDescent="0.25">
      <c r="A32" s="499" t="s">
        <v>514</v>
      </c>
      <c r="B32" s="500">
        <v>27500</v>
      </c>
      <c r="C32" s="501" t="s">
        <v>547</v>
      </c>
      <c r="D32" s="507"/>
      <c r="E32" s="513"/>
    </row>
    <row r="33" spans="1:6" x14ac:dyDescent="0.25">
      <c r="A33" s="499" t="s">
        <v>119</v>
      </c>
      <c r="B33" s="500">
        <v>19000</v>
      </c>
      <c r="C33" s="501" t="s">
        <v>557</v>
      </c>
      <c r="E33" s="513"/>
    </row>
    <row r="34" spans="1:6" x14ac:dyDescent="0.25">
      <c r="A34" s="499" t="s">
        <v>535</v>
      </c>
      <c r="B34" s="500">
        <v>6000</v>
      </c>
      <c r="C34" s="501" t="s">
        <v>557</v>
      </c>
      <c r="D34" s="507"/>
      <c r="E34" s="513"/>
    </row>
    <row r="35" spans="1:6" ht="14.25" customHeight="1" x14ac:dyDescent="0.25">
      <c r="A35" s="499" t="s">
        <v>119</v>
      </c>
      <c r="B35" s="500">
        <v>12500</v>
      </c>
      <c r="C35" s="501" t="s">
        <v>558</v>
      </c>
      <c r="D35" s="507"/>
      <c r="E35" s="513"/>
    </row>
    <row r="36" spans="1:6" ht="14.25" customHeight="1" x14ac:dyDescent="0.25">
      <c r="A36" s="499" t="s">
        <v>514</v>
      </c>
      <c r="B36" s="500">
        <v>7000</v>
      </c>
      <c r="C36" s="501" t="s">
        <v>558</v>
      </c>
      <c r="D36" s="507"/>
      <c r="E36" s="511"/>
    </row>
    <row r="37" spans="1:6" x14ac:dyDescent="0.25">
      <c r="A37" s="499" t="s">
        <v>559</v>
      </c>
      <c r="B37" s="500">
        <v>10000</v>
      </c>
      <c r="C37" s="501" t="s">
        <v>560</v>
      </c>
      <c r="D37" s="510" t="s">
        <v>501</v>
      </c>
      <c r="E37" s="255" t="s">
        <v>595</v>
      </c>
    </row>
    <row r="38" spans="1:6" ht="16.5" customHeight="1" x14ac:dyDescent="0.25">
      <c r="A38" s="499" t="s">
        <v>561</v>
      </c>
      <c r="B38" s="500">
        <v>48000</v>
      </c>
      <c r="C38" s="501" t="s">
        <v>562</v>
      </c>
      <c r="D38" s="507" t="s">
        <v>265</v>
      </c>
      <c r="E38" s="279" t="s">
        <v>596</v>
      </c>
      <c r="F38" s="312"/>
    </row>
    <row r="39" spans="1:6" ht="16.5" customHeight="1" x14ac:dyDescent="0.25">
      <c r="A39" s="499" t="s">
        <v>632</v>
      </c>
      <c r="B39" s="500">
        <v>13000</v>
      </c>
      <c r="C39" s="501" t="s">
        <v>551</v>
      </c>
      <c r="D39" s="508"/>
      <c r="E39" s="512" t="s">
        <v>597</v>
      </c>
      <c r="F39" s="314"/>
    </row>
    <row r="40" spans="1:6" x14ac:dyDescent="0.25">
      <c r="A40" s="499" t="s">
        <v>564</v>
      </c>
      <c r="B40" s="500">
        <v>21000</v>
      </c>
      <c r="C40" s="501" t="s">
        <v>563</v>
      </c>
      <c r="D40" s="507"/>
      <c r="E40" s="279" t="s">
        <v>596</v>
      </c>
      <c r="F40" s="3"/>
    </row>
    <row r="41" spans="1:6" x14ac:dyDescent="0.25">
      <c r="A41" s="499" t="s">
        <v>565</v>
      </c>
      <c r="B41" s="500">
        <v>36000</v>
      </c>
      <c r="C41" s="501" t="s">
        <v>563</v>
      </c>
      <c r="D41" s="510" t="s">
        <v>501</v>
      </c>
      <c r="E41" s="279" t="s">
        <v>596</v>
      </c>
      <c r="F41" s="3"/>
    </row>
    <row r="42" spans="1:6" x14ac:dyDescent="0.25">
      <c r="A42" s="499" t="s">
        <v>566</v>
      </c>
      <c r="B42" s="500">
        <v>5000</v>
      </c>
      <c r="C42" s="501" t="s">
        <v>567</v>
      </c>
      <c r="D42" s="509"/>
      <c r="E42" s="253"/>
      <c r="F42" s="3"/>
    </row>
    <row r="43" spans="1:6" x14ac:dyDescent="0.25">
      <c r="A43" s="515" t="s">
        <v>569</v>
      </c>
      <c r="B43" s="516">
        <v>9000</v>
      </c>
      <c r="C43" s="517" t="s">
        <v>568</v>
      </c>
      <c r="D43" s="510" t="s">
        <v>503</v>
      </c>
      <c r="E43" s="279" t="s">
        <v>597</v>
      </c>
    </row>
    <row r="44" spans="1:6" x14ac:dyDescent="0.25">
      <c r="A44" s="515" t="s">
        <v>570</v>
      </c>
      <c r="B44" s="516">
        <v>7000</v>
      </c>
      <c r="C44" s="517" t="s">
        <v>568</v>
      </c>
      <c r="D44" s="510"/>
      <c r="E44" s="279"/>
    </row>
    <row r="45" spans="1:6" x14ac:dyDescent="0.25">
      <c r="A45" s="515" t="s">
        <v>571</v>
      </c>
      <c r="B45" s="516">
        <v>400</v>
      </c>
      <c r="C45" s="517" t="s">
        <v>558</v>
      </c>
      <c r="D45" s="510"/>
      <c r="E45" s="279"/>
    </row>
    <row r="46" spans="1:6" x14ac:dyDescent="0.25">
      <c r="A46" s="515" t="s">
        <v>572</v>
      </c>
      <c r="B46" s="516">
        <v>18500</v>
      </c>
      <c r="C46" s="517" t="s">
        <v>558</v>
      </c>
      <c r="D46" s="510" t="s">
        <v>503</v>
      </c>
      <c r="E46" s="279" t="s">
        <v>598</v>
      </c>
    </row>
    <row r="47" spans="1:6" x14ac:dyDescent="0.25">
      <c r="A47" s="499" t="s">
        <v>540</v>
      </c>
      <c r="B47" s="500">
        <f>8000*2</f>
        <v>16000</v>
      </c>
      <c r="C47" s="501" t="s">
        <v>547</v>
      </c>
      <c r="D47" s="510"/>
      <c r="E47" s="279" t="s">
        <v>599</v>
      </c>
    </row>
    <row r="48" spans="1:6" x14ac:dyDescent="0.25">
      <c r="A48" s="499" t="s">
        <v>573</v>
      </c>
      <c r="B48" s="500">
        <f>7000*2</f>
        <v>14000</v>
      </c>
      <c r="C48" s="501" t="s">
        <v>547</v>
      </c>
      <c r="D48" s="510"/>
      <c r="E48" s="279" t="s">
        <v>600</v>
      </c>
    </row>
    <row r="49" spans="1:5" x14ac:dyDescent="0.25">
      <c r="A49" s="499" t="s">
        <v>574</v>
      </c>
      <c r="B49" s="500">
        <f>10000*2</f>
        <v>20000</v>
      </c>
      <c r="C49" s="501" t="s">
        <v>575</v>
      </c>
      <c r="D49" s="510"/>
      <c r="E49" s="279"/>
    </row>
    <row r="50" spans="1:5" x14ac:dyDescent="0.25">
      <c r="A50" s="499" t="s">
        <v>576</v>
      </c>
      <c r="B50" s="500">
        <f>11000*2</f>
        <v>22000</v>
      </c>
      <c r="C50" s="501" t="s">
        <v>575</v>
      </c>
      <c r="D50" s="510"/>
      <c r="E50" s="279"/>
    </row>
    <row r="51" spans="1:5" x14ac:dyDescent="0.25">
      <c r="A51" s="526" t="s">
        <v>605</v>
      </c>
      <c r="B51" s="500">
        <v>24000</v>
      </c>
      <c r="C51" s="501" t="s">
        <v>606</v>
      </c>
      <c r="D51" s="510"/>
      <c r="E51" s="279" t="s">
        <v>346</v>
      </c>
    </row>
    <row r="52" spans="1:5" x14ac:dyDescent="0.25">
      <c r="A52" s="499" t="s">
        <v>626</v>
      </c>
      <c r="B52" s="500">
        <v>34000</v>
      </c>
      <c r="C52" s="501" t="s">
        <v>606</v>
      </c>
      <c r="D52" s="510"/>
      <c r="E52" s="279" t="s">
        <v>346</v>
      </c>
    </row>
    <row r="53" spans="1:5" x14ac:dyDescent="0.25">
      <c r="A53" s="499" t="s">
        <v>538</v>
      </c>
      <c r="B53" s="500">
        <f>8000*2</f>
        <v>16000</v>
      </c>
      <c r="C53" s="501" t="s">
        <v>577</v>
      </c>
      <c r="D53" s="510"/>
      <c r="E53" s="279"/>
    </row>
    <row r="54" spans="1:5" x14ac:dyDescent="0.25">
      <c r="A54" s="515" t="s">
        <v>578</v>
      </c>
      <c r="B54" s="516">
        <v>10000</v>
      </c>
      <c r="C54" s="517" t="s">
        <v>577</v>
      </c>
      <c r="D54" s="510" t="s">
        <v>503</v>
      </c>
      <c r="E54" s="518" t="s">
        <v>601</v>
      </c>
    </row>
    <row r="55" spans="1:5" x14ac:dyDescent="0.25">
      <c r="A55" s="499" t="s">
        <v>579</v>
      </c>
      <c r="B55" s="500">
        <f>18000*2</f>
        <v>36000</v>
      </c>
      <c r="C55" s="501" t="s">
        <v>577</v>
      </c>
      <c r="D55" s="510"/>
      <c r="E55" s="279"/>
    </row>
    <row r="56" spans="1:5" x14ac:dyDescent="0.25">
      <c r="A56" s="499" t="s">
        <v>627</v>
      </c>
      <c r="B56" s="500">
        <v>16021</v>
      </c>
      <c r="C56" s="501">
        <v>42712</v>
      </c>
      <c r="D56" s="510"/>
      <c r="E56" s="279" t="s">
        <v>346</v>
      </c>
    </row>
    <row r="57" spans="1:5" x14ac:dyDescent="0.25">
      <c r="A57" s="499" t="s">
        <v>580</v>
      </c>
      <c r="B57" s="500">
        <v>7300</v>
      </c>
      <c r="C57" s="501" t="s">
        <v>555</v>
      </c>
      <c r="D57" s="510"/>
      <c r="E57" s="279" t="s">
        <v>595</v>
      </c>
    </row>
    <row r="58" spans="1:5" x14ac:dyDescent="0.25">
      <c r="A58" s="499" t="s">
        <v>483</v>
      </c>
      <c r="B58" s="500">
        <v>9000</v>
      </c>
      <c r="C58" s="501" t="s">
        <v>581</v>
      </c>
      <c r="D58" s="510"/>
      <c r="E58" s="279"/>
    </row>
    <row r="59" spans="1:5" x14ac:dyDescent="0.25">
      <c r="A59" s="499" t="s">
        <v>582</v>
      </c>
      <c r="B59" s="500">
        <v>68600</v>
      </c>
      <c r="C59" s="501" t="s">
        <v>583</v>
      </c>
      <c r="D59" s="507" t="s">
        <v>587</v>
      </c>
      <c r="E59" s="279"/>
    </row>
    <row r="60" spans="1:5" x14ac:dyDescent="0.25">
      <c r="A60" s="499" t="s">
        <v>584</v>
      </c>
      <c r="B60" s="500">
        <v>134800</v>
      </c>
      <c r="C60" s="501" t="s">
        <v>558</v>
      </c>
      <c r="D60" s="507" t="s">
        <v>588</v>
      </c>
      <c r="E60" s="279"/>
    </row>
    <row r="61" spans="1:5" x14ac:dyDescent="0.25">
      <c r="A61" s="499" t="s">
        <v>585</v>
      </c>
      <c r="B61" s="500">
        <f>19000*2</f>
        <v>38000</v>
      </c>
      <c r="C61" s="501" t="s">
        <v>558</v>
      </c>
      <c r="D61" s="510"/>
      <c r="E61" s="279" t="s">
        <v>602</v>
      </c>
    </row>
    <row r="62" spans="1:5" x14ac:dyDescent="0.25">
      <c r="A62" s="255" t="s">
        <v>12</v>
      </c>
      <c r="B62" s="504">
        <f>SUM(B23:B61)</f>
        <v>1052663</v>
      </c>
      <c r="C62" s="279"/>
      <c r="D62" s="510"/>
      <c r="E62" s="279"/>
    </row>
  </sheetData>
  <mergeCells count="13">
    <mergeCell ref="A14:D14"/>
    <mergeCell ref="F14:I14"/>
    <mergeCell ref="A21:D21"/>
    <mergeCell ref="F21:I21"/>
    <mergeCell ref="A1:F1"/>
    <mergeCell ref="H1:I1"/>
    <mergeCell ref="A2:A3"/>
    <mergeCell ref="B2:B3"/>
    <mergeCell ref="C2:D2"/>
    <mergeCell ref="E2:E3"/>
    <mergeCell ref="F2:F3"/>
    <mergeCell ref="H2:H3"/>
    <mergeCell ref="I2:I3"/>
  </mergeCells>
  <pageMargins left="0.45" right="0.45" top="0.25" bottom="0" header="0.3" footer="0"/>
  <pageSetup paperSize="9" scale="60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zoomScaleNormal="100" workbookViewId="0">
      <selection activeCell="B4" sqref="B4"/>
    </sheetView>
  </sheetViews>
  <sheetFormatPr defaultRowHeight="15" x14ac:dyDescent="0.25"/>
  <cols>
    <col min="1" max="1" width="14.42578125" style="260" customWidth="1"/>
    <col min="2" max="3" width="12.140625" style="260" customWidth="1"/>
    <col min="4" max="4" width="13.140625" style="260" customWidth="1"/>
    <col min="5" max="5" width="16.140625" style="260" customWidth="1"/>
    <col min="6" max="6" width="27.42578125" style="260" customWidth="1"/>
    <col min="7" max="7" width="21.5703125" style="260" customWidth="1"/>
    <col min="8" max="9" width="14.5703125" style="260" customWidth="1"/>
    <col min="10" max="16384" width="9.140625" style="260"/>
  </cols>
  <sheetData>
    <row r="1" spans="1:11" ht="31.5" customHeight="1" x14ac:dyDescent="0.25">
      <c r="A1" s="744" t="s">
        <v>541</v>
      </c>
      <c r="B1" s="744"/>
      <c r="C1" s="744"/>
      <c r="D1" s="744"/>
      <c r="E1" s="744"/>
      <c r="F1" s="744"/>
      <c r="H1" s="745" t="s">
        <v>542</v>
      </c>
      <c r="I1" s="745"/>
    </row>
    <row r="2" spans="1:11" ht="19.5" customHeight="1" x14ac:dyDescent="0.25">
      <c r="A2" s="754" t="s">
        <v>7</v>
      </c>
      <c r="B2" s="754" t="s">
        <v>47</v>
      </c>
      <c r="C2" s="754" t="s">
        <v>199</v>
      </c>
      <c r="D2" s="754"/>
      <c r="E2" s="755" t="s">
        <v>32</v>
      </c>
      <c r="F2" s="754" t="s">
        <v>23</v>
      </c>
      <c r="H2" s="754" t="s">
        <v>7</v>
      </c>
      <c r="I2" s="754" t="s">
        <v>47</v>
      </c>
    </row>
    <row r="3" spans="1:11" ht="19.5" customHeight="1" x14ac:dyDescent="0.25">
      <c r="A3" s="754"/>
      <c r="B3" s="754"/>
      <c r="C3" s="477" t="s">
        <v>5</v>
      </c>
      <c r="D3" s="477" t="s">
        <v>152</v>
      </c>
      <c r="E3" s="756"/>
      <c r="F3" s="754"/>
      <c r="H3" s="754"/>
      <c r="I3" s="754"/>
    </row>
    <row r="4" spans="1:11" x14ac:dyDescent="0.25">
      <c r="A4" s="262" t="s">
        <v>11</v>
      </c>
      <c r="B4" s="264">
        <v>978161</v>
      </c>
      <c r="C4" s="264">
        <v>64772</v>
      </c>
      <c r="D4" s="264">
        <v>445889</v>
      </c>
      <c r="E4" s="221">
        <f>+B4-(C4+D4)</f>
        <v>467500</v>
      </c>
      <c r="F4" s="235"/>
      <c r="H4" s="262" t="s">
        <v>11</v>
      </c>
      <c r="I4" s="264">
        <v>958161</v>
      </c>
    </row>
    <row r="5" spans="1:11" x14ac:dyDescent="0.25">
      <c r="A5" s="262" t="s">
        <v>17</v>
      </c>
      <c r="B5" s="262">
        <v>75546</v>
      </c>
      <c r="C5" s="262">
        <v>30048</v>
      </c>
      <c r="D5" s="262">
        <v>45498</v>
      </c>
      <c r="E5" s="221">
        <f t="shared" ref="E5:E10" si="0">+B5-(C5+D5)</f>
        <v>0</v>
      </c>
      <c r="F5" s="36"/>
      <c r="H5" s="262" t="s">
        <v>17</v>
      </c>
      <c r="I5" s="262">
        <v>75546</v>
      </c>
    </row>
    <row r="6" spans="1:11" x14ac:dyDescent="0.25">
      <c r="A6" s="262" t="s">
        <v>24</v>
      </c>
      <c r="B6" s="264">
        <v>200770</v>
      </c>
      <c r="C6" s="264">
        <v>117210</v>
      </c>
      <c r="D6" s="264"/>
      <c r="E6" s="221">
        <f t="shared" si="0"/>
        <v>83560</v>
      </c>
      <c r="F6" s="36"/>
      <c r="H6" s="262" t="s">
        <v>24</v>
      </c>
      <c r="I6" s="264">
        <v>194770</v>
      </c>
    </row>
    <row r="7" spans="1:11" x14ac:dyDescent="0.25">
      <c r="A7" s="262" t="s">
        <v>42</v>
      </c>
      <c r="B7" s="262">
        <v>530591</v>
      </c>
      <c r="C7" s="262">
        <v>410117</v>
      </c>
      <c r="D7" s="262"/>
      <c r="E7" s="221">
        <f t="shared" si="0"/>
        <v>120474</v>
      </c>
      <c r="F7" s="37"/>
      <c r="H7" s="262" t="s">
        <v>42</v>
      </c>
      <c r="I7" s="262">
        <v>630591</v>
      </c>
    </row>
    <row r="8" spans="1:11" x14ac:dyDescent="0.25">
      <c r="A8" s="262" t="s">
        <v>29</v>
      </c>
      <c r="B8" s="262">
        <v>20478</v>
      </c>
      <c r="C8" s="262">
        <v>20478</v>
      </c>
      <c r="D8" s="262"/>
      <c r="E8" s="221">
        <f t="shared" si="0"/>
        <v>0</v>
      </c>
      <c r="F8" s="248"/>
      <c r="H8" s="262" t="s">
        <v>29</v>
      </c>
      <c r="I8" s="262">
        <v>20478</v>
      </c>
    </row>
    <row r="9" spans="1:11" x14ac:dyDescent="0.25">
      <c r="A9" s="262" t="s">
        <v>260</v>
      </c>
      <c r="B9" s="262">
        <v>17313</v>
      </c>
      <c r="C9" s="262"/>
      <c r="D9" s="262">
        <v>17313</v>
      </c>
      <c r="E9" s="221">
        <f t="shared" si="0"/>
        <v>0</v>
      </c>
      <c r="F9" s="251"/>
      <c r="H9" s="262" t="s">
        <v>260</v>
      </c>
      <c r="I9" s="262">
        <v>29313</v>
      </c>
    </row>
    <row r="10" spans="1:11" x14ac:dyDescent="0.25">
      <c r="A10" s="262" t="s">
        <v>332</v>
      </c>
      <c r="B10" s="262">
        <v>66460</v>
      </c>
      <c r="C10" s="262">
        <v>66460</v>
      </c>
      <c r="D10" s="262"/>
      <c r="E10" s="221">
        <f t="shared" si="0"/>
        <v>0</v>
      </c>
      <c r="F10" s="248"/>
      <c r="H10" s="262" t="s">
        <v>332</v>
      </c>
      <c r="I10" s="262">
        <v>66460</v>
      </c>
    </row>
    <row r="11" spans="1:11" x14ac:dyDescent="0.25">
      <c r="A11" s="477" t="s">
        <v>12</v>
      </c>
      <c r="B11" s="250">
        <f>SUM(B4:B10)</f>
        <v>1889319</v>
      </c>
      <c r="C11" s="250">
        <f>SUM(C4:C10)</f>
        <v>709085</v>
      </c>
      <c r="D11" s="250">
        <f>SUM(D4:D9)</f>
        <v>508700</v>
      </c>
      <c r="E11" s="162">
        <f>SUM(E4:E10)</f>
        <v>671534</v>
      </c>
      <c r="F11" s="253"/>
      <c r="H11" s="484" t="s">
        <v>12</v>
      </c>
      <c r="I11" s="250">
        <f>SUM(I4:I10)</f>
        <v>1975319</v>
      </c>
    </row>
    <row r="13" spans="1:11" x14ac:dyDescent="0.25">
      <c r="G13" s="3"/>
      <c r="H13" s="3"/>
      <c r="I13" s="3"/>
      <c r="J13" s="3"/>
    </row>
    <row r="14" spans="1:11" ht="13.5" customHeight="1" x14ac:dyDescent="0.25">
      <c r="A14" s="478"/>
      <c r="B14" s="478"/>
      <c r="C14" s="325"/>
      <c r="D14" s="478"/>
      <c r="E14" s="476"/>
      <c r="G14" s="478"/>
      <c r="H14" s="478"/>
      <c r="I14" s="478"/>
      <c r="J14" s="478"/>
      <c r="K14" s="476"/>
    </row>
    <row r="15" spans="1:11" ht="13.5" customHeight="1" x14ac:dyDescent="0.25">
      <c r="A15" s="3"/>
      <c r="B15" s="478"/>
      <c r="C15" s="325"/>
      <c r="D15" s="478"/>
      <c r="E15" s="476"/>
      <c r="G15" s="478"/>
      <c r="H15" s="478"/>
      <c r="I15" s="478"/>
      <c r="J15" s="478"/>
      <c r="K15" s="476"/>
    </row>
    <row r="16" spans="1:11" ht="13.5" customHeight="1" x14ac:dyDescent="0.25">
      <c r="A16" s="752" t="s">
        <v>476</v>
      </c>
      <c r="B16" s="752"/>
      <c r="C16" s="752"/>
      <c r="D16" s="752"/>
      <c r="E16" s="476"/>
      <c r="F16" s="743"/>
      <c r="G16" s="743"/>
      <c r="H16" s="743"/>
      <c r="I16" s="743"/>
      <c r="J16" s="478"/>
      <c r="K16" s="476"/>
    </row>
    <row r="17" spans="1:11" ht="13.5" customHeight="1" x14ac:dyDescent="0.25">
      <c r="A17" s="455" t="s">
        <v>8</v>
      </c>
      <c r="B17" s="455" t="s">
        <v>498</v>
      </c>
      <c r="C17" s="456" t="s">
        <v>499</v>
      </c>
      <c r="D17" s="455"/>
      <c r="E17" s="316"/>
      <c r="F17" s="486"/>
      <c r="G17" s="486"/>
      <c r="H17" s="487"/>
      <c r="I17" s="486"/>
      <c r="J17" s="322"/>
      <c r="K17" s="316"/>
    </row>
    <row r="18" spans="1:11" x14ac:dyDescent="0.25">
      <c r="A18" s="13" t="s">
        <v>527</v>
      </c>
      <c r="B18" s="13">
        <v>79874</v>
      </c>
      <c r="C18" s="439">
        <v>42688</v>
      </c>
      <c r="D18" s="475"/>
      <c r="E18" s="3"/>
      <c r="F18" s="6"/>
      <c r="G18" s="6"/>
      <c r="H18" s="488"/>
      <c r="I18" s="485"/>
      <c r="J18" s="2"/>
      <c r="K18" s="3"/>
    </row>
    <row r="19" spans="1:11" x14ac:dyDescent="0.25">
      <c r="A19" s="471" t="s">
        <v>528</v>
      </c>
      <c r="B19" s="471">
        <v>50600</v>
      </c>
      <c r="C19" s="472">
        <v>42703</v>
      </c>
      <c r="D19" s="481" t="s">
        <v>529</v>
      </c>
      <c r="E19" s="3"/>
      <c r="F19" s="6"/>
      <c r="G19" s="6"/>
      <c r="H19" s="488"/>
      <c r="I19" s="2"/>
      <c r="J19" s="2"/>
      <c r="K19" s="3"/>
    </row>
    <row r="20" spans="1:11" x14ac:dyDescent="0.25">
      <c r="A20" s="442" t="s">
        <v>12</v>
      </c>
      <c r="B20" s="442">
        <f>SUM(B17:B19)</f>
        <v>130474</v>
      </c>
      <c r="C20" s="438"/>
      <c r="D20" s="438"/>
      <c r="E20" s="3"/>
      <c r="F20" s="489"/>
      <c r="G20" s="489"/>
      <c r="H20" s="454"/>
      <c r="I20" s="454"/>
      <c r="J20" s="3"/>
    </row>
    <row r="21" spans="1:11" x14ac:dyDescent="0.25">
      <c r="A21" s="322"/>
      <c r="B21" s="478"/>
      <c r="C21" s="454"/>
      <c r="D21" s="454"/>
      <c r="E21" s="3"/>
      <c r="F21" s="3"/>
      <c r="G21" s="3"/>
      <c r="H21" s="3"/>
      <c r="I21" s="3"/>
      <c r="J21" s="3"/>
    </row>
    <row r="22" spans="1:11" x14ac:dyDescent="0.25">
      <c r="A22" s="322"/>
      <c r="B22" s="478"/>
      <c r="C22" s="454"/>
      <c r="D22" s="454"/>
      <c r="E22" s="3"/>
    </row>
    <row r="23" spans="1:11" x14ac:dyDescent="0.25">
      <c r="A23" s="752" t="s">
        <v>477</v>
      </c>
      <c r="B23" s="752"/>
      <c r="C23" s="752"/>
      <c r="D23" s="752"/>
      <c r="E23" s="757"/>
      <c r="F23" s="752" t="s">
        <v>496</v>
      </c>
      <c r="G23" s="752"/>
      <c r="H23" s="752"/>
      <c r="I23" s="752"/>
    </row>
    <row r="24" spans="1:11" ht="15.75" x14ac:dyDescent="0.25">
      <c r="A24" s="455" t="s">
        <v>8</v>
      </c>
      <c r="B24" s="455" t="s">
        <v>498</v>
      </c>
      <c r="C24" s="456" t="s">
        <v>499</v>
      </c>
      <c r="D24" s="455"/>
      <c r="E24" s="757"/>
      <c r="F24" s="455" t="s">
        <v>8</v>
      </c>
      <c r="G24" s="455" t="s">
        <v>498</v>
      </c>
      <c r="H24" s="456" t="s">
        <v>499</v>
      </c>
      <c r="I24" s="455"/>
    </row>
    <row r="25" spans="1:11" x14ac:dyDescent="0.25">
      <c r="A25" s="449" t="s">
        <v>531</v>
      </c>
      <c r="B25" s="475">
        <v>3000</v>
      </c>
      <c r="C25" s="243">
        <v>42685</v>
      </c>
      <c r="D25" s="475" t="s">
        <v>544</v>
      </c>
      <c r="E25" s="757"/>
      <c r="F25" s="13">
        <v>79529</v>
      </c>
      <c r="G25" s="13">
        <v>14000</v>
      </c>
      <c r="H25" s="439">
        <v>42689</v>
      </c>
      <c r="I25" s="482"/>
    </row>
    <row r="26" spans="1:11" x14ac:dyDescent="0.25">
      <c r="A26" s="449" t="s">
        <v>483</v>
      </c>
      <c r="B26" s="475">
        <v>17000</v>
      </c>
      <c r="C26" s="243">
        <v>42688</v>
      </c>
      <c r="D26" s="475" t="s">
        <v>603</v>
      </c>
      <c r="E26" s="757"/>
      <c r="F26" s="13">
        <v>79532</v>
      </c>
      <c r="G26" s="13">
        <v>4000</v>
      </c>
      <c r="H26" s="439">
        <v>42689</v>
      </c>
      <c r="I26" s="288"/>
    </row>
    <row r="27" spans="1:11" x14ac:dyDescent="0.25">
      <c r="A27" s="449" t="s">
        <v>485</v>
      </c>
      <c r="B27" s="475">
        <v>23500</v>
      </c>
      <c r="C27" s="243">
        <v>42702</v>
      </c>
      <c r="D27" s="514" t="s">
        <v>603</v>
      </c>
      <c r="E27" s="757"/>
      <c r="F27" s="13">
        <v>79520</v>
      </c>
      <c r="G27" s="13">
        <v>4000</v>
      </c>
      <c r="H27" s="439">
        <v>42689</v>
      </c>
      <c r="I27" s="288"/>
    </row>
    <row r="28" spans="1:11" x14ac:dyDescent="0.25">
      <c r="A28" s="449" t="s">
        <v>532</v>
      </c>
      <c r="B28" s="475">
        <v>195000</v>
      </c>
      <c r="C28" s="243">
        <v>42704</v>
      </c>
      <c r="D28" s="475" t="s">
        <v>533</v>
      </c>
      <c r="E28" s="757"/>
      <c r="F28" s="13">
        <v>80093</v>
      </c>
      <c r="G28" s="13">
        <v>31020</v>
      </c>
      <c r="H28" s="439">
        <v>42703</v>
      </c>
      <c r="I28" s="482"/>
    </row>
    <row r="29" spans="1:11" x14ac:dyDescent="0.25">
      <c r="A29" s="449" t="s">
        <v>534</v>
      </c>
      <c r="B29" s="475">
        <v>40000</v>
      </c>
      <c r="C29" s="243">
        <v>42704</v>
      </c>
      <c r="D29" s="482" t="s">
        <v>512</v>
      </c>
      <c r="E29" s="757"/>
      <c r="F29" s="13">
        <v>80095</v>
      </c>
      <c r="G29" s="13">
        <v>19564</v>
      </c>
      <c r="H29" s="439">
        <v>42703</v>
      </c>
      <c r="I29" s="482"/>
    </row>
    <row r="30" spans="1:11" x14ac:dyDescent="0.25">
      <c r="A30" s="449" t="s">
        <v>119</v>
      </c>
      <c r="B30" s="475">
        <v>3500</v>
      </c>
      <c r="C30" s="243">
        <v>42680</v>
      </c>
      <c r="D30" s="514" t="s">
        <v>603</v>
      </c>
      <c r="E30" s="757"/>
      <c r="F30" s="13">
        <v>79464</v>
      </c>
      <c r="G30" s="13">
        <v>10976</v>
      </c>
      <c r="H30" s="439">
        <v>42704</v>
      </c>
      <c r="I30" s="482"/>
    </row>
    <row r="31" spans="1:11" x14ac:dyDescent="0.25">
      <c r="A31" s="449" t="s">
        <v>535</v>
      </c>
      <c r="B31" s="475">
        <v>13500</v>
      </c>
      <c r="C31" s="243">
        <v>42680</v>
      </c>
      <c r="D31" s="514" t="s">
        <v>603</v>
      </c>
      <c r="E31" s="757"/>
      <c r="F31" s="13"/>
      <c r="G31" s="13"/>
      <c r="H31" s="439"/>
      <c r="I31" s="288"/>
    </row>
    <row r="32" spans="1:11" x14ac:dyDescent="0.25">
      <c r="A32" s="449" t="s">
        <v>514</v>
      </c>
      <c r="B32" s="475">
        <v>16500</v>
      </c>
      <c r="C32" s="243">
        <v>42687</v>
      </c>
      <c r="D32" s="475"/>
      <c r="E32" s="757"/>
      <c r="F32" s="442" t="s">
        <v>12</v>
      </c>
      <c r="G32" s="442">
        <f>SUM(G24:G31)</f>
        <v>83560</v>
      </c>
      <c r="H32" s="438"/>
      <c r="I32" s="438"/>
    </row>
    <row r="33" spans="1:6" x14ac:dyDescent="0.25">
      <c r="A33" s="449" t="s">
        <v>119</v>
      </c>
      <c r="B33" s="475">
        <v>19500</v>
      </c>
      <c r="C33" s="243">
        <v>42687</v>
      </c>
      <c r="D33" s="475"/>
      <c r="E33" s="757"/>
    </row>
    <row r="34" spans="1:6" x14ac:dyDescent="0.25">
      <c r="A34" s="449" t="s">
        <v>535</v>
      </c>
      <c r="B34" s="475">
        <v>3000</v>
      </c>
      <c r="C34" s="243">
        <v>42696</v>
      </c>
      <c r="D34" s="514" t="s">
        <v>603</v>
      </c>
      <c r="E34" s="757"/>
    </row>
    <row r="35" spans="1:6" x14ac:dyDescent="0.25">
      <c r="A35" s="449" t="s">
        <v>119</v>
      </c>
      <c r="B35" s="482">
        <v>6000</v>
      </c>
      <c r="C35" s="243">
        <v>42702</v>
      </c>
      <c r="D35" s="482"/>
      <c r="E35" s="757"/>
    </row>
    <row r="36" spans="1:6" x14ac:dyDescent="0.25">
      <c r="A36" s="449" t="s">
        <v>536</v>
      </c>
      <c r="B36" s="475">
        <v>3000</v>
      </c>
      <c r="C36" s="243">
        <v>42680</v>
      </c>
      <c r="D36" s="475"/>
      <c r="E36" s="757"/>
    </row>
    <row r="37" spans="1:6" x14ac:dyDescent="0.25">
      <c r="A37" s="532" t="s">
        <v>609</v>
      </c>
      <c r="B37" s="533">
        <v>10000</v>
      </c>
      <c r="C37" s="534">
        <v>42684</v>
      </c>
      <c r="D37" s="533" t="s">
        <v>346</v>
      </c>
      <c r="E37" s="757"/>
    </row>
    <row r="38" spans="1:6" x14ac:dyDescent="0.25">
      <c r="A38" s="451" t="s">
        <v>490</v>
      </c>
      <c r="B38" s="475">
        <v>40000</v>
      </c>
      <c r="C38" s="243">
        <v>42704</v>
      </c>
      <c r="D38" s="482" t="s">
        <v>359</v>
      </c>
      <c r="E38" s="757"/>
    </row>
    <row r="39" spans="1:6" x14ac:dyDescent="0.25">
      <c r="A39" s="451" t="s">
        <v>537</v>
      </c>
      <c r="B39" s="475">
        <v>30000</v>
      </c>
      <c r="C39" s="243">
        <v>42704</v>
      </c>
      <c r="D39" s="519" t="s">
        <v>604</v>
      </c>
      <c r="E39" s="757"/>
    </row>
    <row r="40" spans="1:6" x14ac:dyDescent="0.25">
      <c r="A40" s="449" t="s">
        <v>538</v>
      </c>
      <c r="B40" s="482">
        <v>16000</v>
      </c>
      <c r="C40" s="243">
        <v>42704</v>
      </c>
      <c r="D40" s="482"/>
      <c r="E40" s="757"/>
    </row>
    <row r="41" spans="1:6" x14ac:dyDescent="0.25">
      <c r="A41" s="451" t="s">
        <v>539</v>
      </c>
      <c r="B41" s="482">
        <v>11000</v>
      </c>
      <c r="C41" s="243">
        <v>42704</v>
      </c>
      <c r="D41" s="243"/>
      <c r="E41" s="757"/>
    </row>
    <row r="42" spans="1:6" ht="14.25" customHeight="1" x14ac:dyDescent="0.25">
      <c r="A42" s="449" t="s">
        <v>540</v>
      </c>
      <c r="B42" s="475">
        <v>16000</v>
      </c>
      <c r="C42" s="243">
        <v>42704</v>
      </c>
      <c r="D42" s="475"/>
      <c r="E42" s="757"/>
    </row>
    <row r="43" spans="1:6" ht="14.25" customHeight="1" x14ac:dyDescent="0.25">
      <c r="A43" s="451"/>
      <c r="B43" s="482"/>
      <c r="C43" s="243"/>
      <c r="D43" s="482"/>
      <c r="E43" s="483"/>
    </row>
    <row r="44" spans="1:6" x14ac:dyDescent="0.25">
      <c r="A44" s="475"/>
      <c r="B44" s="475"/>
      <c r="C44" s="243"/>
      <c r="D44" s="475"/>
      <c r="E44" s="476"/>
    </row>
    <row r="45" spans="1:6" x14ac:dyDescent="0.25">
      <c r="A45" s="276" t="s">
        <v>12</v>
      </c>
      <c r="B45" s="442">
        <f>SUM(B25:B44)</f>
        <v>466500</v>
      </c>
      <c r="C45" s="242"/>
      <c r="D45" s="276"/>
      <c r="E45" s="316"/>
    </row>
    <row r="46" spans="1:6" ht="23.25" customHeight="1" x14ac:dyDescent="0.25">
      <c r="A46" s="2"/>
      <c r="B46" s="6"/>
      <c r="C46" s="2"/>
      <c r="D46" s="2"/>
      <c r="E46" s="3"/>
      <c r="F46" s="312"/>
    </row>
    <row r="47" spans="1:6" ht="19.5" customHeight="1" x14ac:dyDescent="0.25">
      <c r="A47" s="752"/>
      <c r="B47" s="752"/>
      <c r="C47" s="752"/>
      <c r="D47" s="752"/>
      <c r="E47" s="313"/>
      <c r="F47" s="314"/>
    </row>
    <row r="48" spans="1:6" ht="19.5" customHeight="1" x14ac:dyDescent="0.25">
      <c r="A48" s="455"/>
      <c r="B48" s="455"/>
      <c r="C48" s="456"/>
      <c r="D48" s="455"/>
      <c r="E48" s="313"/>
      <c r="F48" s="314"/>
    </row>
    <row r="49" spans="1:6" x14ac:dyDescent="0.25">
      <c r="A49" s="13"/>
      <c r="B49" s="13"/>
      <c r="C49" s="439"/>
      <c r="D49" s="475"/>
      <c r="E49" s="320"/>
      <c r="F49" s="3"/>
    </row>
    <row r="50" spans="1:6" x14ac:dyDescent="0.25">
      <c r="A50" s="13"/>
      <c r="B50" s="13"/>
      <c r="C50" s="439"/>
      <c r="D50" s="288"/>
      <c r="E50" s="55"/>
      <c r="F50" s="3"/>
    </row>
    <row r="51" spans="1:6" x14ac:dyDescent="0.25">
      <c r="A51" s="13"/>
      <c r="B51" s="13"/>
      <c r="C51" s="439"/>
      <c r="D51" s="288"/>
      <c r="E51" s="55"/>
      <c r="F51" s="3"/>
    </row>
    <row r="52" spans="1:6" x14ac:dyDescent="0.25">
      <c r="A52" s="13"/>
      <c r="B52" s="13"/>
      <c r="C52" s="439"/>
      <c r="D52" s="475"/>
      <c r="E52" s="55"/>
      <c r="F52" s="3"/>
    </row>
    <row r="53" spans="1:6" x14ac:dyDescent="0.25">
      <c r="A53" s="13"/>
      <c r="B53" s="13"/>
      <c r="C53" s="439"/>
      <c r="D53" s="482"/>
      <c r="E53" s="55"/>
      <c r="F53" s="3"/>
    </row>
    <row r="54" spans="1:6" x14ac:dyDescent="0.25">
      <c r="A54" s="13"/>
      <c r="B54" s="13"/>
      <c r="C54" s="439"/>
      <c r="D54" s="482"/>
      <c r="E54" s="55"/>
      <c r="F54" s="3"/>
    </row>
    <row r="55" spans="1:6" x14ac:dyDescent="0.25">
      <c r="A55" s="13"/>
      <c r="B55" s="13"/>
      <c r="C55" s="439"/>
      <c r="D55" s="288"/>
      <c r="E55" s="79"/>
      <c r="F55" s="3"/>
    </row>
    <row r="56" spans="1:6" x14ac:dyDescent="0.25">
      <c r="A56" s="442"/>
      <c r="B56" s="442"/>
      <c r="C56" s="438"/>
      <c r="D56" s="438"/>
      <c r="E56" s="3"/>
    </row>
    <row r="57" spans="1:6" x14ac:dyDescent="0.25">
      <c r="A57" s="322"/>
      <c r="B57" s="303"/>
      <c r="C57" s="304"/>
      <c r="D57" s="316"/>
      <c r="E57" s="3"/>
    </row>
    <row r="58" spans="1:6" x14ac:dyDescent="0.25">
      <c r="A58" s="322"/>
      <c r="B58" s="303"/>
      <c r="C58" s="304"/>
      <c r="D58" s="316"/>
      <c r="E58" s="3"/>
    </row>
    <row r="59" spans="1:6" x14ac:dyDescent="0.25">
      <c r="A59" s="322"/>
      <c r="B59" s="303"/>
      <c r="C59" s="304"/>
      <c r="D59" s="303"/>
      <c r="E59" s="3"/>
    </row>
    <row r="60" spans="1:6" x14ac:dyDescent="0.25">
      <c r="A60" s="303"/>
      <c r="B60" s="372"/>
      <c r="C60" s="304"/>
      <c r="D60" s="303"/>
      <c r="E60" s="3"/>
    </row>
    <row r="61" spans="1:6" x14ac:dyDescent="0.25">
      <c r="A61" s="3"/>
      <c r="B61" s="3"/>
      <c r="C61" s="3"/>
      <c r="D61" s="3"/>
      <c r="E61" s="3"/>
    </row>
    <row r="62" spans="1:6" x14ac:dyDescent="0.25">
      <c r="B62" s="238"/>
    </row>
  </sheetData>
  <mergeCells count="15">
    <mergeCell ref="A1:F1"/>
    <mergeCell ref="H1:I1"/>
    <mergeCell ref="A2:A3"/>
    <mergeCell ref="B2:B3"/>
    <mergeCell ref="C2:D2"/>
    <mergeCell ref="E2:E3"/>
    <mergeCell ref="F2:F3"/>
    <mergeCell ref="H2:H3"/>
    <mergeCell ref="I2:I3"/>
    <mergeCell ref="A16:D16"/>
    <mergeCell ref="F16:I16"/>
    <mergeCell ref="A23:D23"/>
    <mergeCell ref="E23:E42"/>
    <mergeCell ref="A47:D47"/>
    <mergeCell ref="F23:I23"/>
  </mergeCells>
  <pageMargins left="0.7" right="0.7" top="0.5" bottom="0" header="0.3" footer="0"/>
  <pageSetup paperSize="9" scale="71" orientation="landscape" horizontalDpi="300" verticalDpi="300" r:id="rId1"/>
  <rowBreaks count="1" manualBreakCount="1">
    <brk id="57" max="8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1"/>
  <sheetViews>
    <sheetView topLeftCell="A70" zoomScaleNormal="100" workbookViewId="0">
      <selection activeCell="C5" sqref="C5:C81"/>
    </sheetView>
  </sheetViews>
  <sheetFormatPr defaultRowHeight="15" x14ac:dyDescent="0.25"/>
  <cols>
    <col min="1" max="1" width="22" style="260" customWidth="1"/>
    <col min="2" max="2" width="23.5703125" style="260" customWidth="1"/>
    <col min="3" max="3" width="22.42578125" style="260" customWidth="1"/>
    <col min="4" max="4" width="21.7109375" style="260" customWidth="1"/>
    <col min="5" max="5" width="21.140625" style="260" customWidth="1"/>
    <col min="6" max="6" width="21.85546875" style="260" customWidth="1"/>
    <col min="7" max="7" width="22.140625" style="260" customWidth="1"/>
    <col min="8" max="8" width="22.5703125" style="260" customWidth="1"/>
    <col min="9" max="9" width="21.85546875" style="260" customWidth="1"/>
    <col min="10" max="10" width="22.28515625" style="260" customWidth="1"/>
    <col min="11" max="11" width="24" style="260" customWidth="1"/>
    <col min="12" max="16384" width="9.140625" style="260"/>
  </cols>
  <sheetData>
    <row r="1" spans="1:12" ht="15.75" x14ac:dyDescent="0.25">
      <c r="A1" s="739" t="s">
        <v>178</v>
      </c>
      <c r="B1" s="739"/>
      <c r="C1" s="739"/>
      <c r="D1" s="739"/>
      <c r="E1" s="739"/>
      <c r="F1" s="232"/>
      <c r="G1" s="233"/>
      <c r="H1" s="234"/>
      <c r="I1" s="234"/>
    </row>
    <row r="2" spans="1:12" ht="15.75" x14ac:dyDescent="0.25">
      <c r="A2" s="739" t="s">
        <v>350</v>
      </c>
      <c r="B2" s="739"/>
      <c r="C2" s="739"/>
      <c r="D2" s="739"/>
      <c r="E2" s="739"/>
      <c r="F2" s="232"/>
      <c r="G2" s="233"/>
      <c r="H2" s="234"/>
      <c r="I2" s="234"/>
    </row>
    <row r="3" spans="1:12" ht="15.75" x14ac:dyDescent="0.25">
      <c r="A3" s="740" t="s">
        <v>190</v>
      </c>
      <c r="B3" s="740"/>
      <c r="C3" s="740"/>
      <c r="D3" s="740"/>
      <c r="E3" s="740"/>
      <c r="F3" s="232"/>
      <c r="G3" s="233"/>
      <c r="H3" s="234"/>
      <c r="I3" s="234"/>
    </row>
    <row r="4" spans="1:12" ht="18.75" customHeight="1" x14ac:dyDescent="0.25">
      <c r="A4" s="348" t="s">
        <v>196</v>
      </c>
      <c r="B4" s="348" t="s">
        <v>185</v>
      </c>
      <c r="C4" s="348" t="s">
        <v>182</v>
      </c>
      <c r="D4" s="348" t="s">
        <v>193</v>
      </c>
      <c r="E4" s="348" t="s">
        <v>192</v>
      </c>
      <c r="F4" s="348" t="s">
        <v>223</v>
      </c>
      <c r="G4" s="348" t="s">
        <v>194</v>
      </c>
      <c r="H4" s="296" t="s">
        <v>331</v>
      </c>
      <c r="I4" s="296" t="s">
        <v>345</v>
      </c>
      <c r="J4" s="296" t="s">
        <v>344</v>
      </c>
      <c r="K4" s="356" t="s">
        <v>258</v>
      </c>
    </row>
    <row r="5" spans="1:12" ht="16.5" customHeight="1" x14ac:dyDescent="0.25">
      <c r="A5" s="295"/>
      <c r="B5" s="289" t="s">
        <v>204</v>
      </c>
      <c r="C5" s="289" t="s">
        <v>204</v>
      </c>
      <c r="D5" s="294"/>
      <c r="E5" s="294"/>
      <c r="F5" s="294"/>
      <c r="G5" s="294"/>
      <c r="H5" s="347"/>
      <c r="I5" s="347"/>
      <c r="J5" s="295"/>
      <c r="K5" s="288"/>
      <c r="L5" s="261"/>
    </row>
    <row r="6" spans="1:12" ht="16.5" customHeight="1" x14ac:dyDescent="0.25">
      <c r="A6" s="294"/>
      <c r="B6" s="289" t="s">
        <v>165</v>
      </c>
      <c r="C6" s="289" t="s">
        <v>165</v>
      </c>
      <c r="D6" s="294"/>
      <c r="E6" s="294"/>
      <c r="F6" s="294"/>
      <c r="G6" s="294"/>
      <c r="H6" s="294"/>
      <c r="I6" s="294"/>
      <c r="J6" s="294"/>
      <c r="K6" s="288"/>
      <c r="L6" s="261"/>
    </row>
    <row r="7" spans="1:12" ht="16.5" customHeight="1" x14ac:dyDescent="0.25">
      <c r="A7" s="289"/>
      <c r="B7" s="289" t="s">
        <v>407</v>
      </c>
      <c r="C7" s="289" t="s">
        <v>408</v>
      </c>
      <c r="D7" s="280"/>
      <c r="E7" s="280"/>
      <c r="F7" s="280"/>
      <c r="G7" s="280"/>
      <c r="H7" s="289"/>
      <c r="I7" s="289"/>
      <c r="J7" s="289"/>
      <c r="K7" s="288"/>
      <c r="L7" s="261"/>
    </row>
    <row r="8" spans="1:12" ht="16.5" customHeight="1" x14ac:dyDescent="0.25">
      <c r="A8" s="291"/>
      <c r="B8" s="290" t="s">
        <v>219</v>
      </c>
      <c r="C8" s="290" t="s">
        <v>219</v>
      </c>
      <c r="D8" s="293"/>
      <c r="E8" s="292"/>
      <c r="F8" s="292"/>
      <c r="G8" s="292"/>
      <c r="H8" s="292"/>
      <c r="I8" s="291"/>
      <c r="J8" s="292"/>
      <c r="K8" s="288"/>
      <c r="L8" s="261"/>
    </row>
    <row r="9" spans="1:12" ht="16.5" customHeight="1" x14ac:dyDescent="0.25">
      <c r="A9" s="291"/>
      <c r="B9" s="290" t="s">
        <v>244</v>
      </c>
      <c r="C9" s="290" t="s">
        <v>409</v>
      </c>
      <c r="D9" s="293"/>
      <c r="E9" s="293"/>
      <c r="F9" s="293"/>
      <c r="G9" s="293"/>
      <c r="H9" s="293"/>
      <c r="I9" s="291"/>
      <c r="J9" s="293"/>
      <c r="K9" s="288"/>
      <c r="L9" s="261"/>
    </row>
    <row r="10" spans="1:12" ht="16.5" customHeight="1" x14ac:dyDescent="0.25">
      <c r="A10" s="293"/>
      <c r="B10" s="290" t="s">
        <v>75</v>
      </c>
      <c r="C10" s="290" t="s">
        <v>75</v>
      </c>
      <c r="D10" s="293"/>
      <c r="E10" s="293"/>
      <c r="F10" s="293"/>
      <c r="G10" s="293"/>
      <c r="H10" s="293"/>
      <c r="I10" s="293"/>
      <c r="J10" s="293"/>
      <c r="K10" s="288" t="s">
        <v>294</v>
      </c>
      <c r="L10" s="261"/>
    </row>
    <row r="11" spans="1:12" ht="16.5" customHeight="1" x14ac:dyDescent="0.25">
      <c r="A11" s="294"/>
      <c r="B11" s="289" t="s">
        <v>234</v>
      </c>
      <c r="C11" s="289" t="s">
        <v>234</v>
      </c>
      <c r="D11" s="294"/>
      <c r="E11" s="294"/>
      <c r="F11" s="294"/>
      <c r="G11" s="294"/>
      <c r="H11" s="294"/>
      <c r="I11" s="294"/>
      <c r="J11" s="294"/>
      <c r="K11" s="288"/>
      <c r="L11" s="261"/>
    </row>
    <row r="12" spans="1:12" ht="16.5" customHeight="1" x14ac:dyDescent="0.25">
      <c r="A12" s="294"/>
      <c r="B12" s="289" t="s">
        <v>13</v>
      </c>
      <c r="C12" s="289" t="s">
        <v>13</v>
      </c>
      <c r="D12" s="294"/>
      <c r="E12" s="294"/>
      <c r="F12" s="294"/>
      <c r="G12" s="294"/>
      <c r="H12" s="294"/>
      <c r="I12" s="294"/>
      <c r="J12" s="294"/>
      <c r="K12" s="288"/>
      <c r="L12" s="261"/>
    </row>
    <row r="13" spans="1:12" ht="16.5" customHeight="1" x14ac:dyDescent="0.25">
      <c r="A13" s="294"/>
      <c r="B13" s="289" t="s">
        <v>203</v>
      </c>
      <c r="C13" s="289" t="s">
        <v>203</v>
      </c>
      <c r="D13" s="294"/>
      <c r="E13" s="294"/>
      <c r="F13" s="294"/>
      <c r="G13" s="294"/>
      <c r="H13" s="294"/>
      <c r="I13" s="294"/>
      <c r="J13" s="294"/>
      <c r="K13" s="288"/>
      <c r="L13" s="261"/>
    </row>
    <row r="14" spans="1:12" ht="16.5" customHeight="1" x14ac:dyDescent="0.25">
      <c r="A14" s="289"/>
      <c r="B14" s="289" t="s">
        <v>353</v>
      </c>
      <c r="C14" s="289" t="s">
        <v>401</v>
      </c>
      <c r="D14" s="280"/>
      <c r="E14" s="280"/>
      <c r="F14" s="280"/>
      <c r="G14" s="280"/>
      <c r="H14" s="289"/>
      <c r="I14" s="289"/>
      <c r="J14" s="289"/>
      <c r="K14" s="288"/>
      <c r="L14" s="261"/>
    </row>
    <row r="15" spans="1:12" ht="16.5" customHeight="1" x14ac:dyDescent="0.25">
      <c r="A15" s="295"/>
      <c r="B15" s="289" t="s">
        <v>354</v>
      </c>
      <c r="C15" s="289" t="s">
        <v>402</v>
      </c>
      <c r="D15" s="294"/>
      <c r="E15" s="294"/>
      <c r="F15" s="294"/>
      <c r="G15" s="294"/>
      <c r="H15" s="295"/>
      <c r="I15" s="295"/>
      <c r="J15" s="295"/>
      <c r="K15" s="288"/>
      <c r="L15" s="261"/>
    </row>
    <row r="16" spans="1:12" ht="16.5" customHeight="1" x14ac:dyDescent="0.25">
      <c r="A16" s="294"/>
      <c r="B16" s="289" t="s">
        <v>352</v>
      </c>
      <c r="C16" s="289" t="s">
        <v>352</v>
      </c>
      <c r="D16" s="294"/>
      <c r="E16" s="294"/>
      <c r="F16" s="294"/>
      <c r="G16" s="294"/>
      <c r="H16" s="294"/>
      <c r="I16" s="294"/>
      <c r="J16" s="294"/>
      <c r="K16" s="288"/>
      <c r="L16" s="261"/>
    </row>
    <row r="17" spans="1:12" ht="20.25" customHeight="1" x14ac:dyDescent="0.25">
      <c r="A17" s="348" t="s">
        <v>196</v>
      </c>
      <c r="B17" s="348" t="s">
        <v>404</v>
      </c>
      <c r="C17" s="400" t="s">
        <v>182</v>
      </c>
      <c r="D17" s="348" t="s">
        <v>193</v>
      </c>
      <c r="E17" s="348" t="s">
        <v>192</v>
      </c>
      <c r="F17" s="348" t="s">
        <v>223</v>
      </c>
      <c r="G17" s="348" t="s">
        <v>341</v>
      </c>
      <c r="H17" s="296" t="s">
        <v>342</v>
      </c>
      <c r="I17" s="296" t="s">
        <v>195</v>
      </c>
      <c r="J17" s="296" t="s">
        <v>246</v>
      </c>
      <c r="K17" s="353" t="s">
        <v>261</v>
      </c>
      <c r="L17" s="261"/>
    </row>
    <row r="18" spans="1:12" ht="15.75" customHeight="1" x14ac:dyDescent="0.25">
      <c r="A18" s="291"/>
      <c r="B18" s="395" t="s">
        <v>413</v>
      </c>
      <c r="C18" s="289"/>
      <c r="D18" s="347"/>
      <c r="E18" s="347"/>
      <c r="F18" s="347"/>
      <c r="G18" s="347"/>
      <c r="H18" s="347"/>
      <c r="I18" s="347"/>
      <c r="J18" s="347"/>
      <c r="K18" s="295"/>
      <c r="L18" s="261"/>
    </row>
    <row r="19" spans="1:12" ht="15.75" customHeight="1" x14ac:dyDescent="0.25">
      <c r="A19" s="291"/>
      <c r="B19" s="395" t="s">
        <v>165</v>
      </c>
      <c r="C19" s="289"/>
      <c r="D19" s="294"/>
      <c r="E19" s="294"/>
      <c r="F19" s="294"/>
      <c r="G19" s="294"/>
      <c r="H19" s="294"/>
      <c r="I19" s="294"/>
      <c r="J19" s="294"/>
      <c r="K19" s="294"/>
      <c r="L19" s="261"/>
    </row>
    <row r="20" spans="1:12" ht="15.75" customHeight="1" x14ac:dyDescent="0.25">
      <c r="A20" s="291"/>
      <c r="B20" s="395" t="s">
        <v>400</v>
      </c>
      <c r="C20" s="289"/>
      <c r="D20" s="289"/>
      <c r="E20" s="289"/>
      <c r="F20" s="289"/>
      <c r="G20" s="289"/>
      <c r="H20" s="289"/>
      <c r="I20" s="289"/>
      <c r="J20" s="289"/>
      <c r="K20" s="289"/>
      <c r="L20" s="261"/>
    </row>
    <row r="21" spans="1:12" ht="15.75" customHeight="1" x14ac:dyDescent="0.25">
      <c r="A21" s="290"/>
      <c r="B21" s="399" t="s">
        <v>161</v>
      </c>
      <c r="C21" s="290"/>
      <c r="D21" s="292"/>
      <c r="E21" s="292"/>
      <c r="F21" s="292"/>
      <c r="G21" s="292"/>
      <c r="H21" s="292"/>
      <c r="I21" s="292"/>
      <c r="J21" s="292"/>
      <c r="K21" s="292"/>
      <c r="L21" s="261"/>
    </row>
    <row r="22" spans="1:12" ht="15.75" customHeight="1" x14ac:dyDescent="0.25">
      <c r="A22" s="291"/>
      <c r="B22" s="399" t="s">
        <v>163</v>
      </c>
      <c r="C22" s="290"/>
      <c r="D22" s="293"/>
      <c r="E22" s="293"/>
      <c r="F22" s="293"/>
      <c r="G22" s="293"/>
      <c r="H22" s="293"/>
      <c r="I22" s="293"/>
      <c r="J22" s="293"/>
      <c r="K22" s="293"/>
      <c r="L22" s="261"/>
    </row>
    <row r="23" spans="1:12" ht="15.75" customHeight="1" x14ac:dyDescent="0.25">
      <c r="A23" s="291"/>
      <c r="B23" s="399" t="s">
        <v>298</v>
      </c>
      <c r="C23" s="290"/>
      <c r="D23" s="293"/>
      <c r="E23" s="293"/>
      <c r="F23" s="293"/>
      <c r="G23" s="293"/>
      <c r="H23" s="293"/>
      <c r="I23" s="293"/>
      <c r="J23" s="293"/>
      <c r="K23" s="293"/>
      <c r="L23" s="261"/>
    </row>
    <row r="24" spans="1:12" ht="15.75" customHeight="1" x14ac:dyDescent="0.25">
      <c r="A24" s="291"/>
      <c r="B24" s="395" t="s">
        <v>234</v>
      </c>
      <c r="C24" s="289"/>
      <c r="D24" s="294"/>
      <c r="E24" s="294"/>
      <c r="F24" s="294"/>
      <c r="G24" s="294"/>
      <c r="H24" s="294"/>
      <c r="I24" s="294"/>
      <c r="J24" s="294"/>
      <c r="K24" s="294"/>
      <c r="L24" s="261"/>
    </row>
    <row r="25" spans="1:12" ht="15.75" customHeight="1" x14ac:dyDescent="0.25">
      <c r="A25" s="291"/>
      <c r="B25" s="395" t="s">
        <v>13</v>
      </c>
      <c r="C25" s="289"/>
      <c r="D25" s="294"/>
      <c r="E25" s="294"/>
      <c r="F25" s="294"/>
      <c r="G25" s="294"/>
      <c r="H25" s="294"/>
      <c r="I25" s="294"/>
      <c r="J25" s="294"/>
      <c r="K25" s="294"/>
      <c r="L25" s="261"/>
    </row>
    <row r="26" spans="1:12" ht="15.75" customHeight="1" x14ac:dyDescent="0.25">
      <c r="A26" s="291"/>
      <c r="B26" s="395" t="s">
        <v>203</v>
      </c>
      <c r="C26" s="289"/>
      <c r="D26" s="294"/>
      <c r="E26" s="294"/>
      <c r="F26" s="294"/>
      <c r="G26" s="294"/>
      <c r="H26" s="294"/>
      <c r="I26" s="294"/>
      <c r="J26" s="294"/>
      <c r="K26" s="294"/>
      <c r="L26" s="261"/>
    </row>
    <row r="27" spans="1:12" ht="15.75" customHeight="1" x14ac:dyDescent="0.25">
      <c r="A27" s="291"/>
      <c r="B27" s="395" t="s">
        <v>355</v>
      </c>
      <c r="C27" s="289"/>
      <c r="D27" s="289"/>
      <c r="E27" s="289"/>
      <c r="F27" s="289"/>
      <c r="G27" s="289"/>
      <c r="H27" s="289"/>
      <c r="I27" s="289"/>
      <c r="J27" s="289"/>
      <c r="K27" s="289"/>
      <c r="L27" s="261"/>
    </row>
    <row r="28" spans="1:12" ht="15.75" customHeight="1" x14ac:dyDescent="0.25">
      <c r="A28" s="291"/>
      <c r="B28" s="395" t="s">
        <v>380</v>
      </c>
      <c r="C28" s="289"/>
      <c r="D28" s="295"/>
      <c r="E28" s="295"/>
      <c r="F28" s="295"/>
      <c r="G28" s="295"/>
      <c r="H28" s="295"/>
      <c r="I28" s="295"/>
      <c r="J28" s="295"/>
      <c r="K28" s="295"/>
      <c r="L28" s="261"/>
    </row>
    <row r="29" spans="1:12" ht="15.75" customHeight="1" x14ac:dyDescent="0.25">
      <c r="A29" s="291"/>
      <c r="B29" s="395" t="s">
        <v>383</v>
      </c>
      <c r="C29" s="289"/>
      <c r="D29" s="294"/>
      <c r="E29" s="294"/>
      <c r="F29" s="294"/>
      <c r="G29" s="294"/>
      <c r="H29" s="294"/>
      <c r="I29" s="294"/>
      <c r="J29" s="294"/>
      <c r="K29" s="294"/>
      <c r="L29" s="261"/>
    </row>
    <row r="30" spans="1:12" ht="15.75" customHeight="1" x14ac:dyDescent="0.25">
      <c r="A30" s="348" t="s">
        <v>196</v>
      </c>
      <c r="B30" s="348" t="s">
        <v>185</v>
      </c>
      <c r="C30" s="400" t="s">
        <v>182</v>
      </c>
      <c r="D30" s="296" t="s">
        <v>193</v>
      </c>
      <c r="E30" s="296" t="s">
        <v>192</v>
      </c>
      <c r="F30" s="296" t="s">
        <v>223</v>
      </c>
      <c r="G30" s="296" t="s">
        <v>194</v>
      </c>
      <c r="H30" s="273" t="s">
        <v>184</v>
      </c>
      <c r="I30" s="298" t="s">
        <v>191</v>
      </c>
      <c r="J30" s="296" t="s">
        <v>309</v>
      </c>
      <c r="K30" s="365" t="s">
        <v>258</v>
      </c>
      <c r="L30" s="261"/>
    </row>
    <row r="31" spans="1:12" ht="15.75" customHeight="1" x14ac:dyDescent="0.25">
      <c r="A31" s="291"/>
      <c r="B31" s="289" t="s">
        <v>308</v>
      </c>
      <c r="C31" s="289"/>
      <c r="D31" s="347"/>
      <c r="E31" s="347"/>
      <c r="F31" s="347"/>
      <c r="G31" s="291"/>
      <c r="H31" s="347"/>
      <c r="I31" s="347"/>
      <c r="J31" s="347"/>
      <c r="K31" s="295"/>
      <c r="L31" s="261"/>
    </row>
    <row r="32" spans="1:12" ht="15.75" customHeight="1" x14ac:dyDescent="0.25">
      <c r="A32" s="291"/>
      <c r="B32" s="289" t="s">
        <v>165</v>
      </c>
      <c r="C32" s="289"/>
      <c r="D32" s="294"/>
      <c r="E32" s="294"/>
      <c r="F32" s="294"/>
      <c r="G32" s="291"/>
      <c r="H32" s="294"/>
      <c r="I32" s="294"/>
      <c r="J32" s="294"/>
      <c r="K32" s="294"/>
      <c r="L32" s="261"/>
    </row>
    <row r="33" spans="1:12" ht="15.75" customHeight="1" x14ac:dyDescent="0.25">
      <c r="A33" s="291"/>
      <c r="B33" s="289" t="s">
        <v>351</v>
      </c>
      <c r="C33" s="289"/>
      <c r="D33" s="289"/>
      <c r="E33" s="289"/>
      <c r="F33" s="289"/>
      <c r="G33" s="291"/>
      <c r="H33" s="289"/>
      <c r="I33" s="289"/>
      <c r="J33" s="289"/>
      <c r="K33" s="289"/>
      <c r="L33" s="261"/>
    </row>
    <row r="34" spans="1:12" ht="15.75" customHeight="1" x14ac:dyDescent="0.25">
      <c r="A34" s="290"/>
      <c r="B34" s="290" t="s">
        <v>161</v>
      </c>
      <c r="C34" s="290"/>
      <c r="D34" s="292"/>
      <c r="E34" s="290"/>
      <c r="F34" s="292"/>
      <c r="G34" s="290"/>
      <c r="H34" s="292"/>
      <c r="I34" s="292"/>
      <c r="J34" s="290"/>
      <c r="K34" s="292"/>
      <c r="L34" s="261"/>
    </row>
    <row r="35" spans="1:12" ht="15.75" customHeight="1" x14ac:dyDescent="0.25">
      <c r="A35" s="291"/>
      <c r="B35" s="290" t="s">
        <v>163</v>
      </c>
      <c r="C35" s="291"/>
      <c r="D35" s="293"/>
      <c r="E35" s="293"/>
      <c r="F35" s="293"/>
      <c r="G35" s="291"/>
      <c r="H35" s="293"/>
      <c r="I35" s="293"/>
      <c r="J35" s="293"/>
      <c r="K35" s="293"/>
      <c r="L35" s="261"/>
    </row>
    <row r="36" spans="1:12" ht="15.75" customHeight="1" x14ac:dyDescent="0.25">
      <c r="A36" s="291"/>
      <c r="B36" s="290" t="s">
        <v>75</v>
      </c>
      <c r="C36" s="290"/>
      <c r="D36" s="293"/>
      <c r="E36" s="293"/>
      <c r="F36" s="293"/>
      <c r="G36" s="291"/>
      <c r="H36" s="293"/>
      <c r="I36" s="293"/>
      <c r="J36" s="293"/>
      <c r="K36" s="293"/>
      <c r="L36" s="261"/>
    </row>
    <row r="37" spans="1:12" ht="15.75" customHeight="1" x14ac:dyDescent="0.25">
      <c r="A37" s="291"/>
      <c r="B37" s="289" t="s">
        <v>234</v>
      </c>
      <c r="C37" s="289"/>
      <c r="D37" s="294"/>
      <c r="E37" s="294"/>
      <c r="F37" s="294"/>
      <c r="G37" s="291"/>
      <c r="H37" s="294"/>
      <c r="I37" s="294"/>
      <c r="J37" s="294"/>
      <c r="K37" s="294"/>
      <c r="L37" s="261"/>
    </row>
    <row r="38" spans="1:12" ht="15.75" customHeight="1" x14ac:dyDescent="0.25">
      <c r="A38" s="291"/>
      <c r="B38" s="289" t="s">
        <v>13</v>
      </c>
      <c r="C38" s="289"/>
      <c r="D38" s="294"/>
      <c r="E38" s="294"/>
      <c r="F38" s="294"/>
      <c r="G38" s="291"/>
      <c r="H38" s="294"/>
      <c r="I38" s="294"/>
      <c r="J38" s="294"/>
      <c r="K38" s="294"/>
      <c r="L38" s="261"/>
    </row>
    <row r="39" spans="1:12" ht="15.75" customHeight="1" x14ac:dyDescent="0.25">
      <c r="A39" s="291"/>
      <c r="B39" s="289" t="s">
        <v>203</v>
      </c>
      <c r="C39" s="289"/>
      <c r="D39" s="294"/>
      <c r="E39" s="294"/>
      <c r="F39" s="294"/>
      <c r="G39" s="291"/>
      <c r="H39" s="294"/>
      <c r="I39" s="294"/>
      <c r="J39" s="294"/>
      <c r="K39" s="294"/>
      <c r="L39" s="261"/>
    </row>
    <row r="40" spans="1:12" ht="15.75" customHeight="1" x14ac:dyDescent="0.25">
      <c r="A40" s="291"/>
      <c r="B40" s="289" t="s">
        <v>406</v>
      </c>
      <c r="C40" s="289"/>
      <c r="D40" s="289"/>
      <c r="E40" s="289"/>
      <c r="F40" s="289"/>
      <c r="G40" s="291"/>
      <c r="H40" s="289"/>
      <c r="I40" s="289"/>
      <c r="J40" s="289"/>
      <c r="K40" s="289"/>
      <c r="L40" s="261"/>
    </row>
    <row r="41" spans="1:12" ht="15.75" customHeight="1" x14ac:dyDescent="0.25">
      <c r="A41" s="291"/>
      <c r="B41" s="289" t="s">
        <v>382</v>
      </c>
      <c r="C41" s="289"/>
      <c r="D41" s="295"/>
      <c r="E41" s="295"/>
      <c r="F41" s="295"/>
      <c r="G41" s="291"/>
      <c r="H41" s="295"/>
      <c r="I41" s="295"/>
      <c r="J41" s="295"/>
      <c r="K41" s="295"/>
      <c r="L41" s="261"/>
    </row>
    <row r="42" spans="1:12" ht="15.75" customHeight="1" x14ac:dyDescent="0.25">
      <c r="A42" s="291"/>
      <c r="B42" s="289" t="s">
        <v>384</v>
      </c>
      <c r="C42" s="289"/>
      <c r="D42" s="294"/>
      <c r="E42" s="294"/>
      <c r="F42" s="294"/>
      <c r="G42" s="291"/>
      <c r="H42" s="294"/>
      <c r="I42" s="294"/>
      <c r="J42" s="294"/>
      <c r="K42" s="294"/>
      <c r="L42" s="261"/>
    </row>
    <row r="43" spans="1:12" ht="15.75" customHeight="1" x14ac:dyDescent="0.25">
      <c r="A43" s="296" t="s">
        <v>196</v>
      </c>
      <c r="B43" s="298" t="s">
        <v>185</v>
      </c>
      <c r="C43" s="380" t="s">
        <v>182</v>
      </c>
      <c r="D43" s="296" t="s">
        <v>193</v>
      </c>
      <c r="E43" s="296" t="s">
        <v>334</v>
      </c>
      <c r="F43" s="296" t="s">
        <v>336</v>
      </c>
      <c r="G43" s="296" t="s">
        <v>337</v>
      </c>
      <c r="H43" s="273" t="s">
        <v>184</v>
      </c>
      <c r="I43" s="298" t="s">
        <v>191</v>
      </c>
      <c r="J43" s="298" t="s">
        <v>182</v>
      </c>
      <c r="K43" s="366" t="s">
        <v>258</v>
      </c>
      <c r="L43" s="261"/>
    </row>
    <row r="44" spans="1:12" ht="15.75" customHeight="1" x14ac:dyDescent="0.25">
      <c r="A44" s="347"/>
      <c r="B44" s="289" t="s">
        <v>308</v>
      </c>
      <c r="C44" s="375"/>
      <c r="D44" s="347"/>
      <c r="E44" s="347"/>
      <c r="F44" s="347"/>
      <c r="G44" s="347"/>
      <c r="H44" s="289"/>
      <c r="I44" s="289"/>
      <c r="J44" s="347"/>
      <c r="K44" s="347"/>
    </row>
    <row r="45" spans="1:12" ht="15.75" customHeight="1" x14ac:dyDescent="0.25">
      <c r="A45" s="294"/>
      <c r="B45" s="289" t="s">
        <v>165</v>
      </c>
      <c r="C45" s="376"/>
      <c r="D45" s="294"/>
      <c r="E45" s="294"/>
      <c r="F45" s="294"/>
      <c r="G45" s="294"/>
      <c r="H45" s="289"/>
      <c r="I45" s="289"/>
      <c r="J45" s="294"/>
      <c r="K45" s="294"/>
    </row>
    <row r="46" spans="1:12" ht="15.75" customHeight="1" x14ac:dyDescent="0.25">
      <c r="A46" s="289"/>
      <c r="B46" s="289" t="s">
        <v>385</v>
      </c>
      <c r="C46" s="201"/>
      <c r="D46" s="289"/>
      <c r="E46" s="289"/>
      <c r="F46" s="289"/>
      <c r="G46" s="289"/>
      <c r="H46" s="289"/>
      <c r="I46" s="289"/>
      <c r="J46" s="289"/>
      <c r="K46" s="289"/>
    </row>
    <row r="47" spans="1:12" ht="15.75" customHeight="1" x14ac:dyDescent="0.25">
      <c r="A47" s="292"/>
      <c r="B47" s="290" t="s">
        <v>161</v>
      </c>
      <c r="C47" s="377"/>
      <c r="D47" s="292"/>
      <c r="E47" s="292"/>
      <c r="F47" s="292"/>
      <c r="G47" s="292"/>
      <c r="H47" s="290"/>
      <c r="I47" s="290"/>
      <c r="J47" s="290"/>
      <c r="K47" s="292"/>
    </row>
    <row r="48" spans="1:12" ht="15.75" customHeight="1" x14ac:dyDescent="0.25">
      <c r="A48" s="293"/>
      <c r="B48" s="290" t="s">
        <v>163</v>
      </c>
      <c r="C48" s="378"/>
      <c r="D48" s="293"/>
      <c r="E48" s="293"/>
      <c r="F48" s="293"/>
      <c r="G48" s="293"/>
      <c r="H48" s="290"/>
      <c r="I48" s="290"/>
      <c r="J48" s="293"/>
      <c r="K48" s="293"/>
    </row>
    <row r="49" spans="1:11" ht="15.75" customHeight="1" x14ac:dyDescent="0.25">
      <c r="A49" s="293"/>
      <c r="B49" s="290" t="s">
        <v>75</v>
      </c>
      <c r="C49" s="378"/>
      <c r="D49" s="293"/>
      <c r="E49" s="293"/>
      <c r="F49" s="293"/>
      <c r="G49" s="293"/>
      <c r="H49" s="290"/>
      <c r="I49" s="290"/>
      <c r="J49" s="293"/>
      <c r="K49" s="293"/>
    </row>
    <row r="50" spans="1:11" ht="15.75" customHeight="1" x14ac:dyDescent="0.25">
      <c r="A50" s="294"/>
      <c r="B50" s="289" t="s">
        <v>234</v>
      </c>
      <c r="C50" s="376"/>
      <c r="D50" s="294"/>
      <c r="E50" s="294"/>
      <c r="F50" s="294"/>
      <c r="G50" s="294"/>
      <c r="H50" s="289"/>
      <c r="I50" s="289"/>
      <c r="J50" s="294"/>
      <c r="K50" s="294"/>
    </row>
    <row r="51" spans="1:11" ht="15.75" customHeight="1" x14ac:dyDescent="0.25">
      <c r="A51" s="294"/>
      <c r="B51" s="289" t="s">
        <v>13</v>
      </c>
      <c r="C51" s="376"/>
      <c r="D51" s="294"/>
      <c r="E51" s="294"/>
      <c r="F51" s="294"/>
      <c r="G51" s="294"/>
      <c r="H51" s="289"/>
      <c r="I51" s="289"/>
      <c r="J51" s="294"/>
      <c r="K51" s="294"/>
    </row>
    <row r="52" spans="1:11" ht="15.75" customHeight="1" x14ac:dyDescent="0.25">
      <c r="A52" s="294"/>
      <c r="B52" s="289" t="s">
        <v>203</v>
      </c>
      <c r="C52" s="376"/>
      <c r="D52" s="294"/>
      <c r="E52" s="294"/>
      <c r="F52" s="294"/>
      <c r="G52" s="294"/>
      <c r="H52" s="289"/>
      <c r="I52" s="289"/>
      <c r="J52" s="294"/>
      <c r="K52" s="294"/>
    </row>
    <row r="53" spans="1:11" ht="15.75" customHeight="1" x14ac:dyDescent="0.25">
      <c r="A53" s="289"/>
      <c r="B53" s="289" t="s">
        <v>414</v>
      </c>
      <c r="C53" s="201"/>
      <c r="D53" s="289"/>
      <c r="E53" s="289"/>
      <c r="F53" s="289"/>
      <c r="G53" s="289"/>
      <c r="H53" s="289"/>
      <c r="I53" s="289"/>
      <c r="J53" s="289"/>
      <c r="K53" s="289"/>
    </row>
    <row r="54" spans="1:11" ht="15.75" customHeight="1" x14ac:dyDescent="0.25">
      <c r="A54" s="295"/>
      <c r="B54" s="289" t="s">
        <v>387</v>
      </c>
      <c r="C54" s="379"/>
      <c r="D54" s="295"/>
      <c r="E54" s="295"/>
      <c r="F54" s="295"/>
      <c r="G54" s="295"/>
      <c r="H54" s="289"/>
      <c r="I54" s="289"/>
      <c r="J54" s="295"/>
      <c r="K54" s="295"/>
    </row>
    <row r="55" spans="1:11" ht="15.75" customHeight="1" x14ac:dyDescent="0.25">
      <c r="A55" s="294"/>
      <c r="B55" s="289" t="s">
        <v>386</v>
      </c>
      <c r="C55" s="376"/>
      <c r="D55" s="294"/>
      <c r="E55" s="294"/>
      <c r="F55" s="294"/>
      <c r="G55" s="294"/>
      <c r="H55" s="289"/>
      <c r="I55" s="289"/>
      <c r="J55" s="294"/>
      <c r="K55" s="294"/>
    </row>
    <row r="56" spans="1:11" ht="15.75" customHeight="1" x14ac:dyDescent="0.25">
      <c r="A56" s="296" t="s">
        <v>196</v>
      </c>
      <c r="B56" s="298" t="s">
        <v>420</v>
      </c>
      <c r="C56" s="381" t="s">
        <v>421</v>
      </c>
      <c r="D56" s="296" t="s">
        <v>193</v>
      </c>
      <c r="E56" s="296" t="s">
        <v>334</v>
      </c>
      <c r="F56" s="296" t="s">
        <v>335</v>
      </c>
      <c r="G56" s="296" t="s">
        <v>338</v>
      </c>
      <c r="H56" s="273" t="s">
        <v>311</v>
      </c>
      <c r="I56" s="298" t="s">
        <v>191</v>
      </c>
      <c r="J56" s="296" t="s">
        <v>339</v>
      </c>
      <c r="K56" s="348" t="s">
        <v>258</v>
      </c>
    </row>
    <row r="57" spans="1:11" ht="15.75" customHeight="1" x14ac:dyDescent="0.25">
      <c r="A57" s="347"/>
      <c r="B57" s="404" t="s">
        <v>417</v>
      </c>
      <c r="C57" s="404" t="s">
        <v>417</v>
      </c>
      <c r="D57" s="347"/>
      <c r="E57" s="347"/>
      <c r="F57" s="347"/>
      <c r="G57" s="347"/>
      <c r="H57" s="347"/>
      <c r="I57" s="289"/>
      <c r="K57" s="347"/>
    </row>
    <row r="58" spans="1:11" ht="15.75" customHeight="1" x14ac:dyDescent="0.25">
      <c r="A58" s="294"/>
      <c r="B58" s="404" t="s">
        <v>165</v>
      </c>
      <c r="C58" s="404" t="s">
        <v>165</v>
      </c>
      <c r="D58" s="294"/>
      <c r="E58" s="294"/>
      <c r="F58" s="294"/>
      <c r="G58" s="294"/>
      <c r="H58" s="294"/>
      <c r="I58" s="289"/>
      <c r="K58" s="294"/>
    </row>
    <row r="59" spans="1:11" ht="15.75" customHeight="1" x14ac:dyDescent="0.25">
      <c r="A59" s="289"/>
      <c r="B59" s="404" t="s">
        <v>419</v>
      </c>
      <c r="C59" s="404" t="s">
        <v>419</v>
      </c>
      <c r="D59" s="289"/>
      <c r="E59" s="289"/>
      <c r="F59" s="289"/>
      <c r="G59" s="289"/>
      <c r="H59" s="289"/>
      <c r="I59" s="289"/>
      <c r="K59" s="289"/>
    </row>
    <row r="60" spans="1:11" ht="15.75" customHeight="1" x14ac:dyDescent="0.25">
      <c r="A60" s="292"/>
      <c r="B60" s="405" t="s">
        <v>161</v>
      </c>
      <c r="C60" s="405" t="s">
        <v>161</v>
      </c>
      <c r="D60" s="292"/>
      <c r="E60" s="292"/>
      <c r="F60" s="292"/>
      <c r="G60" s="292"/>
      <c r="H60" s="292"/>
      <c r="I60" s="290"/>
      <c r="K60" s="292"/>
    </row>
    <row r="61" spans="1:11" ht="15.75" customHeight="1" x14ac:dyDescent="0.25">
      <c r="A61" s="293"/>
      <c r="B61" s="405" t="s">
        <v>31</v>
      </c>
      <c r="C61" s="405" t="s">
        <v>31</v>
      </c>
      <c r="D61" s="293"/>
      <c r="E61" s="293"/>
      <c r="F61" s="293"/>
      <c r="G61" s="293"/>
      <c r="H61" s="293"/>
      <c r="I61" s="290"/>
      <c r="K61" s="293"/>
    </row>
    <row r="62" spans="1:11" ht="15.75" customHeight="1" x14ac:dyDescent="0.25">
      <c r="A62" s="293"/>
      <c r="B62" s="405" t="s">
        <v>20</v>
      </c>
      <c r="C62" s="405" t="s">
        <v>20</v>
      </c>
      <c r="D62" s="293"/>
      <c r="E62" s="293"/>
      <c r="F62" s="293"/>
      <c r="G62" s="293"/>
      <c r="H62" s="293"/>
      <c r="I62" s="290"/>
      <c r="K62" s="293"/>
    </row>
    <row r="63" spans="1:11" ht="15.75" customHeight="1" x14ac:dyDescent="0.25">
      <c r="A63" s="294"/>
      <c r="B63" s="404" t="s">
        <v>418</v>
      </c>
      <c r="C63" s="404" t="s">
        <v>418</v>
      </c>
      <c r="D63" s="294"/>
      <c r="E63" s="294"/>
      <c r="F63" s="294"/>
      <c r="G63" s="294"/>
      <c r="H63" s="294"/>
      <c r="I63" s="289"/>
      <c r="K63" s="294"/>
    </row>
    <row r="64" spans="1:11" ht="15.75" customHeight="1" x14ac:dyDescent="0.25">
      <c r="A64" s="294"/>
      <c r="B64" s="404" t="s">
        <v>15</v>
      </c>
      <c r="C64" s="404" t="s">
        <v>15</v>
      </c>
      <c r="D64" s="294"/>
      <c r="E64" s="294"/>
      <c r="F64" s="294"/>
      <c r="G64" s="294"/>
      <c r="H64" s="294"/>
      <c r="I64" s="289"/>
      <c r="K64" s="294"/>
    </row>
    <row r="65" spans="1:12" ht="15.75" customHeight="1" x14ac:dyDescent="0.25">
      <c r="A65" s="294"/>
      <c r="B65" s="404" t="s">
        <v>164</v>
      </c>
      <c r="C65" s="404" t="s">
        <v>164</v>
      </c>
      <c r="D65" s="294"/>
      <c r="E65" s="294"/>
      <c r="F65" s="294"/>
      <c r="G65" s="294"/>
      <c r="H65" s="294"/>
      <c r="I65" s="289"/>
      <c r="K65" s="294"/>
    </row>
    <row r="66" spans="1:12" ht="15.75" customHeight="1" x14ac:dyDescent="0.25">
      <c r="A66" s="289"/>
      <c r="B66" s="404" t="s">
        <v>415</v>
      </c>
      <c r="C66" s="404" t="s">
        <v>415</v>
      </c>
      <c r="D66" s="289"/>
      <c r="E66" s="289"/>
      <c r="F66" s="289"/>
      <c r="G66" s="289"/>
      <c r="H66" s="289"/>
      <c r="I66" s="289"/>
      <c r="K66" s="289"/>
    </row>
    <row r="67" spans="1:12" ht="15.75" customHeight="1" x14ac:dyDescent="0.25">
      <c r="A67" s="295"/>
      <c r="B67" s="404" t="s">
        <v>381</v>
      </c>
      <c r="C67" s="404" t="s">
        <v>381</v>
      </c>
      <c r="D67" s="295"/>
      <c r="E67" s="295"/>
      <c r="F67" s="295"/>
      <c r="G67" s="295"/>
      <c r="H67" s="295"/>
      <c r="I67" s="289"/>
      <c r="K67" s="295"/>
    </row>
    <row r="68" spans="1:12" ht="15.75" customHeight="1" x14ac:dyDescent="0.25">
      <c r="A68" s="294"/>
      <c r="B68" s="404" t="s">
        <v>388</v>
      </c>
      <c r="C68" s="404" t="s">
        <v>388</v>
      </c>
      <c r="D68" s="294"/>
      <c r="E68" s="294"/>
      <c r="F68" s="294"/>
      <c r="G68" s="294"/>
      <c r="H68" s="294"/>
      <c r="I68" s="289"/>
      <c r="K68" s="294"/>
    </row>
    <row r="69" spans="1:12" ht="15.75" customHeight="1" x14ac:dyDescent="0.25">
      <c r="A69" s="296" t="s">
        <v>196</v>
      </c>
      <c r="B69" s="298" t="s">
        <v>185</v>
      </c>
      <c r="C69" s="381" t="s">
        <v>182</v>
      </c>
      <c r="D69" s="296" t="s">
        <v>193</v>
      </c>
      <c r="E69" s="296" t="s">
        <v>192</v>
      </c>
      <c r="F69" s="296" t="s">
        <v>223</v>
      </c>
      <c r="G69" s="296" t="s">
        <v>194</v>
      </c>
      <c r="H69" s="273" t="s">
        <v>184</v>
      </c>
      <c r="I69" s="296" t="s">
        <v>312</v>
      </c>
      <c r="J69" s="296" t="s">
        <v>310</v>
      </c>
      <c r="K69" s="348" t="s">
        <v>258</v>
      </c>
      <c r="L69" s="261"/>
    </row>
    <row r="70" spans="1:12" ht="15.75" customHeight="1" x14ac:dyDescent="0.25">
      <c r="A70" s="347"/>
      <c r="B70" s="404" t="s">
        <v>425</v>
      </c>
      <c r="C70" s="404" t="s">
        <v>425</v>
      </c>
      <c r="D70" s="347"/>
      <c r="E70" s="347"/>
      <c r="F70" s="347"/>
      <c r="G70" s="347"/>
      <c r="H70" s="347"/>
      <c r="I70" s="347"/>
      <c r="J70" s="347"/>
      <c r="K70" s="288"/>
      <c r="L70" s="261"/>
    </row>
    <row r="71" spans="1:12" ht="15.75" customHeight="1" x14ac:dyDescent="0.25">
      <c r="A71" s="294"/>
      <c r="B71" s="404" t="s">
        <v>165</v>
      </c>
      <c r="C71" s="404" t="s">
        <v>165</v>
      </c>
      <c r="D71" s="294"/>
      <c r="E71" s="294"/>
      <c r="F71" s="294"/>
      <c r="G71" s="294"/>
      <c r="H71" s="294"/>
      <c r="I71" s="294"/>
      <c r="J71" s="294"/>
      <c r="K71" s="288"/>
      <c r="L71" s="261"/>
    </row>
    <row r="72" spans="1:12" ht="15.75" customHeight="1" x14ac:dyDescent="0.25">
      <c r="A72" s="289"/>
      <c r="B72" s="404" t="s">
        <v>423</v>
      </c>
      <c r="C72" s="404" t="s">
        <v>423</v>
      </c>
      <c r="D72" s="289"/>
      <c r="E72" s="289"/>
      <c r="F72" s="289"/>
      <c r="G72" s="289"/>
      <c r="H72" s="289"/>
      <c r="I72" s="289"/>
      <c r="J72" s="289"/>
      <c r="K72" s="288"/>
      <c r="L72" s="261"/>
    </row>
    <row r="73" spans="1:12" ht="15.75" customHeight="1" x14ac:dyDescent="0.25">
      <c r="A73" s="292"/>
      <c r="B73" s="405" t="s">
        <v>161</v>
      </c>
      <c r="C73" s="405" t="s">
        <v>161</v>
      </c>
      <c r="D73" s="292"/>
      <c r="E73" s="292"/>
      <c r="F73" s="292"/>
      <c r="G73" s="292"/>
      <c r="H73" s="292"/>
      <c r="I73" s="290"/>
      <c r="J73" s="292"/>
      <c r="K73" s="288"/>
      <c r="L73" s="261"/>
    </row>
    <row r="74" spans="1:12" ht="15.75" customHeight="1" x14ac:dyDescent="0.25">
      <c r="A74" s="293"/>
      <c r="B74" s="405" t="s">
        <v>163</v>
      </c>
      <c r="C74" s="405" t="s">
        <v>163</v>
      </c>
      <c r="D74" s="293"/>
      <c r="E74" s="293"/>
      <c r="F74" s="293"/>
      <c r="G74" s="293"/>
      <c r="H74" s="293"/>
      <c r="I74" s="293"/>
      <c r="J74" s="293"/>
      <c r="K74" s="288"/>
      <c r="L74" s="261"/>
    </row>
    <row r="75" spans="1:12" ht="15.75" customHeight="1" x14ac:dyDescent="0.25">
      <c r="A75" s="293"/>
      <c r="B75" s="405" t="s">
        <v>49</v>
      </c>
      <c r="C75" s="405" t="s">
        <v>49</v>
      </c>
      <c r="D75" s="293"/>
      <c r="E75" s="293"/>
      <c r="F75" s="293"/>
      <c r="G75" s="293"/>
      <c r="H75" s="293"/>
      <c r="I75" s="293"/>
      <c r="J75" s="293"/>
      <c r="K75" s="288"/>
      <c r="L75" s="261"/>
    </row>
    <row r="76" spans="1:12" ht="15.75" customHeight="1" x14ac:dyDescent="0.25">
      <c r="A76" s="294"/>
      <c r="B76" s="404" t="s">
        <v>424</v>
      </c>
      <c r="C76" s="404" t="s">
        <v>424</v>
      </c>
      <c r="D76" s="294"/>
      <c r="E76" s="294"/>
      <c r="F76" s="294"/>
      <c r="G76" s="294"/>
      <c r="H76" s="294"/>
      <c r="I76" s="294"/>
      <c r="J76" s="294"/>
      <c r="K76" s="288"/>
      <c r="L76" s="261"/>
    </row>
    <row r="77" spans="1:12" ht="15.75" customHeight="1" x14ac:dyDescent="0.25">
      <c r="A77" s="294"/>
      <c r="B77" s="404" t="s">
        <v>13</v>
      </c>
      <c r="C77" s="404" t="s">
        <v>13</v>
      </c>
      <c r="D77" s="294"/>
      <c r="E77" s="294"/>
      <c r="F77" s="294"/>
      <c r="G77" s="294"/>
      <c r="H77" s="294"/>
      <c r="I77" s="294"/>
      <c r="J77" s="294"/>
      <c r="K77" s="288"/>
      <c r="L77" s="261"/>
    </row>
    <row r="78" spans="1:12" ht="15.75" customHeight="1" x14ac:dyDescent="0.25">
      <c r="A78" s="294"/>
      <c r="B78" s="404" t="s">
        <v>164</v>
      </c>
      <c r="C78" s="404" t="s">
        <v>164</v>
      </c>
      <c r="D78" s="294"/>
      <c r="E78" s="294"/>
      <c r="F78" s="294"/>
      <c r="G78" s="294"/>
      <c r="H78" s="294"/>
      <c r="I78" s="294"/>
      <c r="J78" s="294"/>
      <c r="K78" s="288"/>
      <c r="L78" s="261"/>
    </row>
    <row r="79" spans="1:12" ht="15.75" customHeight="1" x14ac:dyDescent="0.25">
      <c r="A79" s="289"/>
      <c r="B79" s="404" t="s">
        <v>403</v>
      </c>
      <c r="C79" s="404" t="s">
        <v>403</v>
      </c>
      <c r="D79" s="289"/>
      <c r="E79" s="289"/>
      <c r="F79" s="289"/>
      <c r="G79" s="289"/>
      <c r="H79" s="289"/>
      <c r="I79" s="289"/>
      <c r="J79" s="289"/>
      <c r="K79" s="288"/>
      <c r="L79" s="261"/>
    </row>
    <row r="80" spans="1:12" ht="15.75" customHeight="1" x14ac:dyDescent="0.25">
      <c r="A80" s="295"/>
      <c r="B80" s="404" t="s">
        <v>416</v>
      </c>
      <c r="C80" s="404" t="s">
        <v>416</v>
      </c>
      <c r="D80" s="295"/>
      <c r="E80" s="295"/>
      <c r="F80" s="295"/>
      <c r="G80" s="295"/>
      <c r="H80" s="295"/>
      <c r="I80" s="295"/>
      <c r="J80" s="295"/>
      <c r="K80" s="288"/>
      <c r="L80" s="261"/>
    </row>
    <row r="81" spans="1:12" ht="15.75" customHeight="1" x14ac:dyDescent="0.25">
      <c r="A81" s="294"/>
      <c r="B81" s="404" t="s">
        <v>422</v>
      </c>
      <c r="C81" s="404" t="s">
        <v>422</v>
      </c>
      <c r="D81" s="294"/>
      <c r="E81" s="294"/>
      <c r="F81" s="294"/>
      <c r="G81" s="294"/>
      <c r="H81" s="294"/>
      <c r="I81" s="294"/>
      <c r="J81" s="294"/>
      <c r="K81" s="288"/>
      <c r="L81" s="261"/>
    </row>
    <row r="82" spans="1:12" ht="15.75" customHeight="1" x14ac:dyDescent="0.25">
      <c r="A82" s="296" t="s">
        <v>196</v>
      </c>
      <c r="B82" s="298" t="s">
        <v>185</v>
      </c>
      <c r="C82" s="381" t="s">
        <v>182</v>
      </c>
      <c r="D82" s="296" t="s">
        <v>193</v>
      </c>
      <c r="E82" s="296" t="s">
        <v>192</v>
      </c>
      <c r="F82" s="296" t="s">
        <v>223</v>
      </c>
      <c r="G82" s="296" t="s">
        <v>194</v>
      </c>
      <c r="H82" s="273" t="s">
        <v>184</v>
      </c>
      <c r="I82" s="296" t="s">
        <v>195</v>
      </c>
      <c r="J82" s="296" t="s">
        <v>246</v>
      </c>
      <c r="K82" s="288"/>
      <c r="L82" s="261"/>
    </row>
    <row r="83" spans="1:12" ht="15.75" customHeight="1" x14ac:dyDescent="0.25">
      <c r="A83" s="291"/>
      <c r="B83" s="289"/>
      <c r="C83" s="375"/>
      <c r="D83" s="297"/>
      <c r="E83" s="347"/>
      <c r="F83" s="288"/>
      <c r="G83" s="288"/>
      <c r="H83" s="295"/>
      <c r="I83" s="297"/>
      <c r="J83" s="347"/>
      <c r="K83" s="288"/>
      <c r="L83" s="261"/>
    </row>
    <row r="84" spans="1:12" ht="15.75" customHeight="1" x14ac:dyDescent="0.25">
      <c r="A84" s="291"/>
      <c r="B84" s="289"/>
      <c r="C84" s="376"/>
      <c r="D84" s="297"/>
      <c r="E84" s="294"/>
      <c r="F84" s="288"/>
      <c r="G84" s="288"/>
      <c r="H84" s="294"/>
      <c r="I84" s="297"/>
      <c r="J84" s="294"/>
      <c r="K84" s="288"/>
      <c r="L84" s="261"/>
    </row>
    <row r="85" spans="1:12" ht="15.75" customHeight="1" x14ac:dyDescent="0.25">
      <c r="A85" s="291"/>
      <c r="B85" s="289"/>
      <c r="C85" s="201"/>
      <c r="D85" s="297"/>
      <c r="E85" s="289"/>
      <c r="F85" s="288"/>
      <c r="G85" s="288"/>
      <c r="H85" s="289"/>
      <c r="I85" s="297"/>
      <c r="J85" s="289"/>
      <c r="K85" s="288"/>
      <c r="L85" s="261"/>
    </row>
    <row r="86" spans="1:12" ht="15.75" customHeight="1" x14ac:dyDescent="0.25">
      <c r="A86" s="290"/>
      <c r="B86" s="290"/>
      <c r="C86" s="215"/>
      <c r="D86" s="297"/>
      <c r="E86" s="292"/>
      <c r="F86" s="288"/>
      <c r="G86" s="288"/>
      <c r="H86" s="292"/>
      <c r="I86" s="297"/>
      <c r="J86" s="292"/>
      <c r="K86" s="288"/>
      <c r="L86" s="261"/>
    </row>
    <row r="87" spans="1:12" ht="15.75" customHeight="1" x14ac:dyDescent="0.25">
      <c r="A87" s="291"/>
      <c r="B87" s="290"/>
      <c r="C87" s="378"/>
      <c r="D87" s="297"/>
      <c r="E87" s="293"/>
      <c r="F87" s="288"/>
      <c r="G87" s="288"/>
      <c r="H87" s="293"/>
      <c r="I87" s="297"/>
      <c r="J87" s="293"/>
      <c r="K87" s="288"/>
      <c r="L87" s="261"/>
    </row>
    <row r="88" spans="1:12" ht="15.75" customHeight="1" x14ac:dyDescent="0.25">
      <c r="A88" s="291"/>
      <c r="B88" s="290"/>
      <c r="C88" s="378"/>
      <c r="D88" s="297"/>
      <c r="E88" s="293"/>
      <c r="F88" s="288"/>
      <c r="G88" s="288"/>
      <c r="H88" s="293"/>
      <c r="I88" s="297"/>
      <c r="J88" s="293"/>
      <c r="K88" s="288"/>
      <c r="L88" s="261"/>
    </row>
    <row r="89" spans="1:12" ht="15.75" customHeight="1" x14ac:dyDescent="0.25">
      <c r="A89" s="291"/>
      <c r="B89" s="289"/>
      <c r="C89" s="376"/>
      <c r="D89" s="297"/>
      <c r="E89" s="294"/>
      <c r="F89" s="288"/>
      <c r="G89" s="288"/>
      <c r="H89" s="294"/>
      <c r="I89" s="297"/>
      <c r="J89" s="294"/>
      <c r="K89" s="288"/>
      <c r="L89" s="261"/>
    </row>
    <row r="90" spans="1:12" ht="15.75" customHeight="1" x14ac:dyDescent="0.25">
      <c r="A90" s="291"/>
      <c r="B90" s="289"/>
      <c r="C90" s="376"/>
      <c r="D90" s="297"/>
      <c r="E90" s="294"/>
      <c r="F90" s="288"/>
      <c r="G90" s="288"/>
      <c r="H90" s="294"/>
      <c r="I90" s="297"/>
      <c r="J90" s="294"/>
      <c r="K90" s="288"/>
      <c r="L90" s="261"/>
    </row>
    <row r="91" spans="1:12" ht="15.75" customHeight="1" x14ac:dyDescent="0.25">
      <c r="A91" s="291"/>
      <c r="B91" s="289"/>
      <c r="C91" s="376"/>
      <c r="D91" s="297"/>
      <c r="E91" s="294"/>
      <c r="F91" s="288"/>
      <c r="G91" s="288"/>
      <c r="H91" s="294"/>
      <c r="I91" s="297"/>
      <c r="J91" s="294"/>
      <c r="K91" s="288"/>
      <c r="L91" s="261"/>
    </row>
    <row r="92" spans="1:12" ht="15.75" customHeight="1" x14ac:dyDescent="0.25">
      <c r="A92" s="291"/>
      <c r="B92" s="289"/>
      <c r="C92" s="201"/>
      <c r="D92" s="297"/>
      <c r="E92" s="289"/>
      <c r="F92" s="288"/>
      <c r="G92" s="288"/>
      <c r="H92" s="289"/>
      <c r="I92" s="297"/>
      <c r="J92" s="289"/>
      <c r="K92" s="288"/>
      <c r="L92" s="261"/>
    </row>
    <row r="93" spans="1:12" ht="15.75" customHeight="1" x14ac:dyDescent="0.25">
      <c r="A93" s="291"/>
      <c r="B93" s="289"/>
      <c r="C93" s="379"/>
      <c r="D93" s="297"/>
      <c r="E93" s="295"/>
      <c r="F93" s="288"/>
      <c r="G93" s="288"/>
      <c r="H93" s="295"/>
      <c r="I93" s="297"/>
      <c r="J93" s="295"/>
      <c r="K93" s="288"/>
      <c r="L93" s="261"/>
    </row>
    <row r="94" spans="1:12" ht="15.75" customHeight="1" x14ac:dyDescent="0.25">
      <c r="A94" s="291"/>
      <c r="B94" s="289"/>
      <c r="C94" s="376"/>
      <c r="D94" s="297"/>
      <c r="E94" s="294"/>
      <c r="F94" s="288"/>
      <c r="G94" s="288"/>
      <c r="H94" s="294"/>
      <c r="I94" s="297"/>
      <c r="J94" s="294"/>
      <c r="K94" s="288"/>
      <c r="L94" s="261"/>
    </row>
    <row r="95" spans="1:12" ht="15.75" customHeight="1" x14ac:dyDescent="0.25">
      <c r="A95" s="296" t="s">
        <v>196</v>
      </c>
      <c r="B95" s="298" t="s">
        <v>185</v>
      </c>
      <c r="C95" s="381" t="s">
        <v>182</v>
      </c>
      <c r="D95" s="298" t="s">
        <v>183</v>
      </c>
      <c r="E95" s="296" t="s">
        <v>192</v>
      </c>
      <c r="F95" s="298" t="s">
        <v>186</v>
      </c>
      <c r="G95" s="298" t="s">
        <v>188</v>
      </c>
      <c r="H95" s="298" t="s">
        <v>283</v>
      </c>
      <c r="I95" s="298" t="s">
        <v>191</v>
      </c>
      <c r="J95" s="296" t="s">
        <v>246</v>
      </c>
      <c r="K95" s="288"/>
      <c r="L95" s="261"/>
    </row>
    <row r="96" spans="1:12" ht="15.75" customHeight="1" x14ac:dyDescent="0.25">
      <c r="A96" s="286"/>
      <c r="B96" s="289"/>
      <c r="C96" s="279"/>
      <c r="D96" s="286"/>
      <c r="E96" s="291"/>
      <c r="F96" s="286"/>
      <c r="G96" s="286"/>
      <c r="H96" s="295"/>
      <c r="I96" s="286"/>
      <c r="J96" s="286"/>
      <c r="K96" s="288"/>
      <c r="L96" s="261"/>
    </row>
    <row r="97" spans="1:12" ht="15.75" customHeight="1" x14ac:dyDescent="0.25">
      <c r="A97" s="287"/>
      <c r="B97" s="289"/>
      <c r="C97" s="279"/>
      <c r="D97" s="287"/>
      <c r="E97" s="291"/>
      <c r="F97" s="287"/>
      <c r="G97" s="287"/>
      <c r="H97" s="294"/>
      <c r="I97" s="287"/>
      <c r="J97" s="287"/>
      <c r="K97" s="288"/>
      <c r="L97" s="261"/>
    </row>
    <row r="98" spans="1:12" ht="15.75" customHeight="1" x14ac:dyDescent="0.25">
      <c r="A98" s="287"/>
      <c r="B98" s="289"/>
      <c r="C98" s="279"/>
      <c r="D98" s="287"/>
      <c r="E98" s="291"/>
      <c r="F98" s="287"/>
      <c r="G98" s="287"/>
      <c r="H98" s="289"/>
      <c r="I98" s="287"/>
      <c r="J98" s="287"/>
      <c r="K98" s="288"/>
      <c r="L98" s="261"/>
    </row>
    <row r="99" spans="1:12" ht="15.75" customHeight="1" x14ac:dyDescent="0.25">
      <c r="A99" s="287"/>
      <c r="B99" s="290"/>
      <c r="C99" s="279"/>
      <c r="D99" s="287"/>
      <c r="E99" s="291"/>
      <c r="F99" s="287"/>
      <c r="G99" s="287"/>
      <c r="H99" s="292"/>
      <c r="I99" s="287"/>
      <c r="J99" s="287"/>
      <c r="K99" s="288"/>
      <c r="L99" s="261"/>
    </row>
    <row r="100" spans="1:12" x14ac:dyDescent="0.25">
      <c r="A100" s="287"/>
      <c r="B100" s="290"/>
      <c r="C100" s="279"/>
      <c r="D100" s="287"/>
      <c r="E100" s="291"/>
      <c r="F100" s="287"/>
      <c r="G100" s="287"/>
      <c r="H100" s="293"/>
      <c r="I100" s="287"/>
      <c r="J100" s="287"/>
      <c r="K100" s="288"/>
      <c r="L100" s="261"/>
    </row>
    <row r="101" spans="1:12" x14ac:dyDescent="0.25">
      <c r="A101" s="287"/>
      <c r="B101" s="290"/>
      <c r="C101" s="279"/>
      <c r="D101" s="287"/>
      <c r="E101" s="291"/>
      <c r="F101" s="287"/>
      <c r="G101" s="287"/>
      <c r="H101" s="293"/>
      <c r="I101" s="287"/>
      <c r="J101" s="287"/>
      <c r="K101" s="288"/>
      <c r="L101" s="261"/>
    </row>
    <row r="102" spans="1:12" x14ac:dyDescent="0.25">
      <c r="A102" s="287"/>
      <c r="B102" s="289"/>
      <c r="C102" s="279"/>
      <c r="D102" s="287"/>
      <c r="E102" s="291"/>
      <c r="F102" s="287"/>
      <c r="G102" s="287"/>
      <c r="H102" s="294"/>
      <c r="I102" s="287"/>
      <c r="J102" s="287"/>
      <c r="K102" s="288"/>
      <c r="L102" s="261"/>
    </row>
    <row r="103" spans="1:12" x14ac:dyDescent="0.25">
      <c r="A103" s="288"/>
      <c r="B103" s="289"/>
      <c r="C103" s="279"/>
      <c r="D103" s="288"/>
      <c r="E103" s="291"/>
      <c r="F103" s="288"/>
      <c r="G103" s="288"/>
      <c r="H103" s="294"/>
      <c r="I103" s="288"/>
      <c r="J103" s="288"/>
      <c r="K103" s="288"/>
      <c r="L103" s="261"/>
    </row>
    <row r="104" spans="1:12" x14ac:dyDescent="0.25">
      <c r="A104" s="288"/>
      <c r="B104" s="289"/>
      <c r="C104" s="279"/>
      <c r="D104" s="288"/>
      <c r="E104" s="291"/>
      <c r="F104" s="288"/>
      <c r="G104" s="288"/>
      <c r="H104" s="294"/>
      <c r="I104" s="288"/>
      <c r="J104" s="288"/>
      <c r="K104" s="288"/>
      <c r="L104" s="261"/>
    </row>
    <row r="105" spans="1:12" x14ac:dyDescent="0.25">
      <c r="A105" s="288"/>
      <c r="B105" s="289"/>
      <c r="C105" s="279"/>
      <c r="D105" s="288"/>
      <c r="E105" s="291"/>
      <c r="F105" s="288"/>
      <c r="G105" s="288"/>
      <c r="H105" s="289"/>
      <c r="I105" s="288"/>
      <c r="J105" s="288"/>
      <c r="K105" s="288"/>
      <c r="L105" s="261"/>
    </row>
    <row r="106" spans="1:12" x14ac:dyDescent="0.25">
      <c r="A106" s="288"/>
      <c r="B106" s="289"/>
      <c r="C106" s="279"/>
      <c r="D106" s="288"/>
      <c r="E106" s="291"/>
      <c r="F106" s="288"/>
      <c r="G106" s="288"/>
      <c r="H106" s="295"/>
      <c r="I106" s="288"/>
      <c r="J106" s="288"/>
      <c r="K106" s="288"/>
      <c r="L106" s="261"/>
    </row>
    <row r="107" spans="1:12" x14ac:dyDescent="0.25">
      <c r="A107" s="288"/>
      <c r="B107" s="289"/>
      <c r="C107" s="279"/>
      <c r="D107" s="288"/>
      <c r="E107" s="291"/>
      <c r="F107" s="288"/>
      <c r="G107" s="288"/>
      <c r="H107" s="294"/>
      <c r="I107" s="288"/>
      <c r="J107" s="288"/>
      <c r="K107" s="288"/>
      <c r="L107" s="261"/>
    </row>
    <row r="108" spans="1:12" ht="15.75" customHeight="1" x14ac:dyDescent="0.25">
      <c r="A108" s="299" t="s">
        <v>181</v>
      </c>
      <c r="B108" s="299" t="s">
        <v>185</v>
      </c>
      <c r="C108" s="298" t="s">
        <v>182</v>
      </c>
      <c r="D108" s="299" t="s">
        <v>183</v>
      </c>
      <c r="E108" s="296" t="s">
        <v>192</v>
      </c>
      <c r="F108" s="298" t="s">
        <v>186</v>
      </c>
      <c r="G108" s="299" t="s">
        <v>188</v>
      </c>
      <c r="H108" s="299" t="s">
        <v>184</v>
      </c>
      <c r="I108" s="299" t="s">
        <v>191</v>
      </c>
      <c r="J108" s="296" t="s">
        <v>246</v>
      </c>
      <c r="K108" s="288"/>
      <c r="L108" s="261"/>
    </row>
    <row r="109" spans="1:12" x14ac:dyDescent="0.25">
      <c r="A109" s="288"/>
      <c r="B109" s="288"/>
      <c r="C109" s="347"/>
      <c r="D109" s="288"/>
      <c r="E109" s="288"/>
      <c r="F109" s="288"/>
      <c r="G109" s="288"/>
      <c r="H109" s="295"/>
      <c r="I109" s="288"/>
      <c r="J109" s="288"/>
      <c r="K109" s="288"/>
      <c r="L109" s="261"/>
    </row>
    <row r="110" spans="1:12" x14ac:dyDescent="0.25">
      <c r="A110" s="288"/>
      <c r="B110" s="288"/>
      <c r="C110" s="294"/>
      <c r="D110" s="288"/>
      <c r="E110" s="288"/>
      <c r="F110" s="288"/>
      <c r="G110" s="288"/>
      <c r="H110" s="294"/>
      <c r="I110" s="288"/>
      <c r="J110" s="288"/>
      <c r="K110" s="288"/>
      <c r="L110" s="261"/>
    </row>
    <row r="111" spans="1:12" x14ac:dyDescent="0.25">
      <c r="A111" s="288"/>
      <c r="B111" s="288"/>
      <c r="C111" s="289"/>
      <c r="D111" s="288"/>
      <c r="E111" s="288"/>
      <c r="F111" s="288"/>
      <c r="G111" s="288"/>
      <c r="H111" s="289"/>
      <c r="I111" s="288"/>
      <c r="J111" s="288"/>
      <c r="K111" s="288"/>
      <c r="L111" s="261"/>
    </row>
    <row r="112" spans="1:12" x14ac:dyDescent="0.25">
      <c r="A112" s="288"/>
      <c r="B112" s="288"/>
      <c r="C112" s="290"/>
      <c r="D112" s="288"/>
      <c r="E112" s="288"/>
      <c r="F112" s="288"/>
      <c r="G112" s="288"/>
      <c r="H112" s="292"/>
      <c r="I112" s="288"/>
      <c r="J112" s="288"/>
      <c r="K112" s="288"/>
      <c r="L112" s="261"/>
    </row>
    <row r="113" spans="1:12" x14ac:dyDescent="0.25">
      <c r="A113" s="288"/>
      <c r="B113" s="288"/>
      <c r="C113" s="293"/>
      <c r="D113" s="288"/>
      <c r="E113" s="288"/>
      <c r="F113" s="288"/>
      <c r="G113" s="288"/>
      <c r="H113" s="293"/>
      <c r="I113" s="288"/>
      <c r="J113" s="288"/>
      <c r="K113" s="288"/>
      <c r="L113" s="261"/>
    </row>
    <row r="114" spans="1:12" x14ac:dyDescent="0.25">
      <c r="A114" s="288"/>
      <c r="B114" s="288"/>
      <c r="C114" s="293"/>
      <c r="D114" s="288"/>
      <c r="E114" s="288"/>
      <c r="F114" s="288"/>
      <c r="G114" s="288"/>
      <c r="H114" s="293"/>
      <c r="I114" s="288"/>
      <c r="J114" s="288"/>
      <c r="K114" s="288"/>
      <c r="L114" s="261"/>
    </row>
    <row r="115" spans="1:12" x14ac:dyDescent="0.25">
      <c r="A115" s="288"/>
      <c r="B115" s="288"/>
      <c r="C115" s="294"/>
      <c r="D115" s="288"/>
      <c r="E115" s="288"/>
      <c r="F115" s="288"/>
      <c r="G115" s="288"/>
      <c r="H115" s="294"/>
      <c r="I115" s="288"/>
      <c r="J115" s="288"/>
      <c r="K115" s="288"/>
      <c r="L115" s="261"/>
    </row>
    <row r="116" spans="1:12" x14ac:dyDescent="0.25">
      <c r="A116" s="288"/>
      <c r="B116" s="288"/>
      <c r="C116" s="294"/>
      <c r="D116" s="288"/>
      <c r="E116" s="288"/>
      <c r="F116" s="288"/>
      <c r="G116" s="288"/>
      <c r="H116" s="294"/>
      <c r="I116" s="288"/>
      <c r="J116" s="288"/>
      <c r="K116" s="288"/>
      <c r="L116" s="261"/>
    </row>
    <row r="117" spans="1:12" x14ac:dyDescent="0.25">
      <c r="A117" s="288"/>
      <c r="B117" s="288"/>
      <c r="C117" s="294"/>
      <c r="D117" s="288"/>
      <c r="E117" s="288"/>
      <c r="F117" s="288"/>
      <c r="G117" s="288"/>
      <c r="H117" s="294"/>
      <c r="I117" s="288"/>
      <c r="J117" s="288"/>
      <c r="K117" s="288"/>
      <c r="L117" s="261"/>
    </row>
    <row r="118" spans="1:12" x14ac:dyDescent="0.25">
      <c r="A118" s="261"/>
      <c r="B118" s="288"/>
      <c r="C118" s="289"/>
      <c r="D118" s="288"/>
      <c r="E118" s="288"/>
      <c r="F118" s="288"/>
      <c r="G118" s="288"/>
      <c r="H118" s="289"/>
      <c r="I118" s="288"/>
      <c r="J118" s="288"/>
      <c r="K118" s="288"/>
      <c r="L118" s="261"/>
    </row>
    <row r="119" spans="1:12" x14ac:dyDescent="0.25">
      <c r="A119" s="261"/>
      <c r="B119" s="288"/>
      <c r="C119" s="295"/>
      <c r="D119" s="288"/>
      <c r="E119" s="288"/>
      <c r="F119" s="288"/>
      <c r="G119" s="288"/>
      <c r="H119" s="295"/>
      <c r="I119" s="288"/>
      <c r="J119" s="288"/>
      <c r="K119" s="288"/>
      <c r="L119" s="261"/>
    </row>
    <row r="120" spans="1:12" x14ac:dyDescent="0.25">
      <c r="A120" s="261"/>
      <c r="B120" s="288"/>
      <c r="C120" s="294"/>
      <c r="D120" s="288"/>
      <c r="E120" s="288"/>
      <c r="F120" s="288"/>
      <c r="G120" s="288"/>
      <c r="H120" s="294"/>
      <c r="I120" s="288"/>
      <c r="J120" s="288"/>
      <c r="K120" s="288"/>
      <c r="L120" s="261"/>
    </row>
    <row r="121" spans="1:12" ht="15.75" customHeight="1" x14ac:dyDescent="0.25">
      <c r="A121" s="299" t="s">
        <v>181</v>
      </c>
      <c r="B121" s="299" t="s">
        <v>185</v>
      </c>
      <c r="C121" s="299" t="s">
        <v>182</v>
      </c>
      <c r="D121" s="299" t="s">
        <v>183</v>
      </c>
      <c r="E121" s="296" t="s">
        <v>192</v>
      </c>
      <c r="F121" s="298" t="s">
        <v>186</v>
      </c>
      <c r="G121" s="299" t="s">
        <v>188</v>
      </c>
      <c r="H121" s="299" t="s">
        <v>184</v>
      </c>
      <c r="I121" s="299" t="s">
        <v>191</v>
      </c>
      <c r="J121" s="296" t="s">
        <v>246</v>
      </c>
      <c r="K121" s="288"/>
      <c r="L121" s="261"/>
    </row>
    <row r="122" spans="1:12" x14ac:dyDescent="0.25">
      <c r="A122" s="261"/>
      <c r="B122" s="288"/>
      <c r="C122" s="288"/>
      <c r="D122" s="288"/>
      <c r="E122" s="288"/>
      <c r="F122" s="288"/>
      <c r="G122" s="288"/>
      <c r="H122" s="288"/>
      <c r="I122" s="288"/>
      <c r="J122" s="288"/>
      <c r="K122" s="288"/>
      <c r="L122" s="261"/>
    </row>
    <row r="123" spans="1:12" x14ac:dyDescent="0.25">
      <c r="A123" s="261"/>
      <c r="B123" s="288"/>
      <c r="C123" s="288"/>
      <c r="D123" s="288"/>
      <c r="E123" s="288"/>
      <c r="F123" s="288"/>
      <c r="G123" s="288"/>
      <c r="H123" s="288"/>
      <c r="I123" s="288"/>
      <c r="J123" s="288"/>
      <c r="K123" s="288"/>
      <c r="L123" s="261"/>
    </row>
    <row r="124" spans="1:12" x14ac:dyDescent="0.25">
      <c r="A124" s="261"/>
      <c r="B124" s="288"/>
      <c r="C124" s="288"/>
      <c r="D124" s="288"/>
      <c r="E124" s="288"/>
      <c r="F124" s="288"/>
      <c r="G124" s="288"/>
      <c r="H124" s="288"/>
      <c r="I124" s="288"/>
      <c r="J124" s="288"/>
      <c r="K124" s="288"/>
      <c r="L124" s="261"/>
    </row>
    <row r="125" spans="1:12" x14ac:dyDescent="0.25">
      <c r="A125" s="261"/>
      <c r="B125" s="288"/>
      <c r="C125" s="288"/>
      <c r="D125" s="288"/>
      <c r="E125" s="288"/>
      <c r="F125" s="288"/>
      <c r="G125" s="288"/>
      <c r="H125" s="288"/>
      <c r="I125" s="288"/>
      <c r="J125" s="288"/>
      <c r="K125" s="288"/>
      <c r="L125" s="261"/>
    </row>
    <row r="126" spans="1:12" x14ac:dyDescent="0.25">
      <c r="A126" s="261"/>
      <c r="B126" s="288"/>
      <c r="C126" s="288"/>
      <c r="D126" s="288"/>
      <c r="E126" s="288"/>
      <c r="F126" s="288"/>
      <c r="G126" s="288"/>
      <c r="H126" s="288"/>
      <c r="I126" s="288"/>
      <c r="J126" s="288"/>
      <c r="K126" s="288"/>
      <c r="L126" s="261"/>
    </row>
    <row r="127" spans="1:12" x14ac:dyDescent="0.25">
      <c r="A127" s="261"/>
      <c r="B127" s="288"/>
      <c r="C127" s="288"/>
      <c r="D127" s="288"/>
      <c r="E127" s="288"/>
      <c r="F127" s="288"/>
      <c r="G127" s="288"/>
      <c r="H127" s="288"/>
      <c r="I127" s="288"/>
      <c r="J127" s="288"/>
      <c r="K127" s="288"/>
      <c r="L127" s="261"/>
    </row>
    <row r="128" spans="1:12" x14ac:dyDescent="0.25">
      <c r="A128" s="261"/>
      <c r="B128" s="288"/>
      <c r="C128" s="288"/>
      <c r="D128" s="288"/>
      <c r="E128" s="288"/>
      <c r="F128" s="288"/>
      <c r="G128" s="288"/>
      <c r="H128" s="288"/>
      <c r="I128" s="288"/>
      <c r="J128" s="288"/>
      <c r="K128" s="288"/>
      <c r="L128" s="261"/>
    </row>
    <row r="129" spans="1:12" x14ac:dyDescent="0.25">
      <c r="A129" s="261"/>
      <c r="B129" s="288"/>
      <c r="C129" s="288"/>
      <c r="D129" s="288"/>
      <c r="E129" s="288"/>
      <c r="F129" s="288"/>
      <c r="G129" s="288"/>
      <c r="H129" s="288"/>
      <c r="I129" s="288"/>
      <c r="J129" s="288"/>
      <c r="K129" s="288"/>
      <c r="L129" s="261"/>
    </row>
    <row r="130" spans="1:12" x14ac:dyDescent="0.25">
      <c r="A130" s="261"/>
      <c r="B130" s="288"/>
      <c r="C130" s="288"/>
      <c r="D130" s="288"/>
      <c r="E130" s="288"/>
      <c r="F130" s="288"/>
      <c r="G130" s="288"/>
      <c r="H130" s="288"/>
      <c r="I130" s="288"/>
      <c r="J130" s="288"/>
      <c r="K130" s="288"/>
      <c r="L130" s="261"/>
    </row>
    <row r="131" spans="1:12" x14ac:dyDescent="0.25">
      <c r="A131" s="261"/>
      <c r="B131" s="288"/>
      <c r="C131" s="288"/>
      <c r="D131" s="288"/>
      <c r="E131" s="288"/>
      <c r="F131" s="288"/>
      <c r="G131" s="288"/>
      <c r="H131" s="288"/>
      <c r="I131" s="288"/>
      <c r="J131" s="288"/>
      <c r="K131" s="288"/>
      <c r="L131" s="261"/>
    </row>
    <row r="132" spans="1:12" x14ac:dyDescent="0.25">
      <c r="A132" s="261"/>
      <c r="B132" s="288"/>
      <c r="C132" s="288"/>
      <c r="D132" s="288"/>
      <c r="E132" s="288"/>
      <c r="F132" s="288"/>
      <c r="G132" s="288"/>
      <c r="H132" s="288"/>
      <c r="I132" s="288"/>
      <c r="J132" s="288"/>
      <c r="K132" s="288"/>
      <c r="L132" s="261"/>
    </row>
    <row r="133" spans="1:12" x14ac:dyDescent="0.25">
      <c r="A133" s="261"/>
      <c r="B133" s="288"/>
      <c r="C133" s="288"/>
      <c r="D133" s="288"/>
      <c r="E133" s="288"/>
      <c r="F133" s="288"/>
      <c r="G133" s="288"/>
      <c r="H133" s="288"/>
      <c r="I133" s="288"/>
      <c r="J133" s="288"/>
      <c r="K133" s="288"/>
      <c r="L133" s="261"/>
    </row>
    <row r="134" spans="1:12" x14ac:dyDescent="0.25">
      <c r="A134" s="261"/>
      <c r="B134" s="288"/>
      <c r="C134" s="288"/>
      <c r="D134" s="288"/>
      <c r="E134" s="288"/>
      <c r="F134" s="288"/>
      <c r="G134" s="288"/>
      <c r="H134" s="288"/>
      <c r="I134" s="288"/>
      <c r="J134" s="288"/>
      <c r="K134" s="288"/>
      <c r="L134" s="261"/>
    </row>
    <row r="135" spans="1:12" x14ac:dyDescent="0.25">
      <c r="A135" s="261"/>
      <c r="B135" s="288"/>
      <c r="C135" s="288"/>
      <c r="D135" s="288"/>
      <c r="E135" s="288"/>
      <c r="F135" s="288"/>
      <c r="G135" s="288"/>
      <c r="H135" s="288"/>
      <c r="I135" s="288"/>
      <c r="J135" s="288"/>
      <c r="K135" s="288"/>
      <c r="L135" s="261"/>
    </row>
    <row r="136" spans="1:12" x14ac:dyDescent="0.25">
      <c r="A136" s="261"/>
      <c r="B136" s="288"/>
      <c r="C136" s="288"/>
      <c r="D136" s="288"/>
      <c r="E136" s="288"/>
      <c r="F136" s="288"/>
      <c r="G136" s="288"/>
      <c r="H136" s="288"/>
      <c r="I136" s="288"/>
      <c r="J136" s="288"/>
      <c r="K136" s="288"/>
      <c r="L136" s="261"/>
    </row>
    <row r="137" spans="1:12" x14ac:dyDescent="0.25">
      <c r="A137" s="261"/>
      <c r="B137" s="288"/>
      <c r="C137" s="288"/>
      <c r="D137" s="288"/>
      <c r="E137" s="288"/>
      <c r="F137" s="288"/>
      <c r="G137" s="288"/>
      <c r="H137" s="288"/>
      <c r="I137" s="288"/>
      <c r="J137" s="288"/>
      <c r="K137" s="288"/>
      <c r="L137" s="261"/>
    </row>
    <row r="138" spans="1:12" x14ac:dyDescent="0.25">
      <c r="B138" s="279"/>
      <c r="C138" s="279"/>
      <c r="D138" s="279"/>
      <c r="E138" s="279"/>
      <c r="F138" s="279"/>
      <c r="G138" s="279"/>
      <c r="H138" s="279"/>
      <c r="I138" s="279"/>
      <c r="J138" s="279"/>
      <c r="K138" s="279"/>
    </row>
    <row r="139" spans="1:12" x14ac:dyDescent="0.25">
      <c r="B139" s="279"/>
      <c r="C139" s="279"/>
      <c r="D139" s="279"/>
      <c r="E139" s="279"/>
      <c r="F139" s="279"/>
      <c r="G139" s="279"/>
      <c r="H139" s="279"/>
      <c r="I139" s="279"/>
      <c r="J139" s="279"/>
      <c r="K139" s="279"/>
    </row>
    <row r="140" spans="1:12" x14ac:dyDescent="0.25">
      <c r="B140" s="279"/>
      <c r="C140" s="279"/>
      <c r="D140" s="279"/>
      <c r="E140" s="279"/>
      <c r="F140" s="279"/>
      <c r="G140" s="279"/>
      <c r="H140" s="279"/>
      <c r="I140" s="279"/>
      <c r="J140" s="279"/>
      <c r="K140" s="279"/>
    </row>
    <row r="141" spans="1:12" x14ac:dyDescent="0.25">
      <c r="B141" s="279"/>
      <c r="C141" s="279"/>
      <c r="D141" s="279"/>
      <c r="E141" s="279"/>
      <c r="F141" s="279"/>
      <c r="G141" s="279"/>
      <c r="H141" s="279"/>
      <c r="I141" s="279"/>
      <c r="J141" s="279"/>
      <c r="K141" s="279"/>
    </row>
  </sheetData>
  <mergeCells count="3">
    <mergeCell ref="A1:E1"/>
    <mergeCell ref="A2:E2"/>
    <mergeCell ref="A3:E3"/>
  </mergeCells>
  <pageMargins left="0.25" right="0" top="0.25" bottom="0" header="0.3" footer="0"/>
  <pageSetup paperSize="9" scale="83" orientation="landscape" r:id="rId1"/>
  <rowBreaks count="1" manualBreakCount="1">
    <brk id="42" max="16383" man="1"/>
  </rowBreaks>
  <colBreaks count="1" manualBreakCount="1">
    <brk id="8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zoomScaleNormal="100" workbookViewId="0">
      <selection activeCell="A37" sqref="A37"/>
    </sheetView>
  </sheetViews>
  <sheetFormatPr defaultRowHeight="15" x14ac:dyDescent="0.25"/>
  <cols>
    <col min="1" max="1" width="14.42578125" style="260" customWidth="1"/>
    <col min="2" max="3" width="12.140625" style="260" customWidth="1"/>
    <col min="4" max="4" width="13.140625" style="260" customWidth="1"/>
    <col min="5" max="5" width="16.140625" style="260" customWidth="1"/>
    <col min="6" max="6" width="27.42578125" style="260" customWidth="1"/>
    <col min="7" max="7" width="21.5703125" style="260" customWidth="1"/>
    <col min="8" max="9" width="14.5703125" style="260" customWidth="1"/>
    <col min="10" max="16384" width="9.140625" style="260"/>
  </cols>
  <sheetData>
    <row r="1" spans="1:11" ht="31.5" customHeight="1" x14ac:dyDescent="0.25">
      <c r="A1" s="744" t="s">
        <v>520</v>
      </c>
      <c r="B1" s="744"/>
      <c r="C1" s="744"/>
      <c r="D1" s="744"/>
      <c r="E1" s="744"/>
      <c r="F1" s="744"/>
      <c r="H1" s="745" t="s">
        <v>519</v>
      </c>
      <c r="I1" s="745"/>
    </row>
    <row r="2" spans="1:11" ht="19.5" customHeight="1" x14ac:dyDescent="0.25">
      <c r="A2" s="754" t="s">
        <v>7</v>
      </c>
      <c r="B2" s="754" t="s">
        <v>47</v>
      </c>
      <c r="C2" s="754" t="s">
        <v>199</v>
      </c>
      <c r="D2" s="754"/>
      <c r="E2" s="755" t="s">
        <v>32</v>
      </c>
      <c r="F2" s="754" t="s">
        <v>23</v>
      </c>
      <c r="H2" s="754" t="s">
        <v>7</v>
      </c>
      <c r="I2" s="754" t="s">
        <v>47</v>
      </c>
    </row>
    <row r="3" spans="1:11" ht="19.5" customHeight="1" x14ac:dyDescent="0.25">
      <c r="A3" s="754"/>
      <c r="B3" s="754"/>
      <c r="C3" s="460" t="s">
        <v>5</v>
      </c>
      <c r="D3" s="460" t="s">
        <v>152</v>
      </c>
      <c r="E3" s="756"/>
      <c r="F3" s="754"/>
      <c r="H3" s="754"/>
      <c r="I3" s="754"/>
    </row>
    <row r="4" spans="1:11" x14ac:dyDescent="0.25">
      <c r="A4" s="262" t="s">
        <v>11</v>
      </c>
      <c r="B4" s="264">
        <v>724550</v>
      </c>
      <c r="C4" s="264">
        <v>116200</v>
      </c>
      <c r="D4" s="264">
        <v>309050</v>
      </c>
      <c r="E4" s="221">
        <f>+B4-(C4+D4)</f>
        <v>299300</v>
      </c>
      <c r="F4" s="235"/>
      <c r="H4" s="262" t="s">
        <v>11</v>
      </c>
      <c r="I4" s="264">
        <v>724550</v>
      </c>
    </row>
    <row r="5" spans="1:11" x14ac:dyDescent="0.25">
      <c r="A5" s="262" t="s">
        <v>17</v>
      </c>
      <c r="B5" s="262">
        <v>113681</v>
      </c>
      <c r="C5" s="262">
        <v>63774</v>
      </c>
      <c r="D5" s="262">
        <v>49907</v>
      </c>
      <c r="E5" s="221">
        <f t="shared" ref="E5:E10" si="0">+B5-(C5+D5)</f>
        <v>0</v>
      </c>
      <c r="F5" s="36"/>
      <c r="H5" s="262" t="s">
        <v>17</v>
      </c>
      <c r="I5" s="262">
        <v>102381</v>
      </c>
    </row>
    <row r="6" spans="1:11" x14ac:dyDescent="0.25">
      <c r="A6" s="262" t="s">
        <v>24</v>
      </c>
      <c r="B6" s="264">
        <v>227786</v>
      </c>
      <c r="C6" s="264">
        <v>138830</v>
      </c>
      <c r="D6" s="264"/>
      <c r="E6" s="221">
        <f t="shared" si="0"/>
        <v>88956</v>
      </c>
      <c r="F6" s="36"/>
      <c r="H6" s="262" t="s">
        <v>24</v>
      </c>
      <c r="I6" s="264">
        <v>227786</v>
      </c>
    </row>
    <row r="7" spans="1:11" x14ac:dyDescent="0.25">
      <c r="A7" s="262" t="s">
        <v>42</v>
      </c>
      <c r="B7" s="262">
        <v>360000</v>
      </c>
      <c r="C7" s="262">
        <v>300000</v>
      </c>
      <c r="D7" s="262"/>
      <c r="E7" s="221">
        <f t="shared" si="0"/>
        <v>60000</v>
      </c>
      <c r="F7" s="37"/>
      <c r="H7" s="262" t="s">
        <v>42</v>
      </c>
      <c r="I7" s="262">
        <v>400000</v>
      </c>
    </row>
    <row r="8" spans="1:11" x14ac:dyDescent="0.25">
      <c r="A8" s="262" t="s">
        <v>29</v>
      </c>
      <c r="B8" s="262">
        <v>31666</v>
      </c>
      <c r="C8" s="262">
        <v>31666</v>
      </c>
      <c r="D8" s="262"/>
      <c r="E8" s="221">
        <f t="shared" si="0"/>
        <v>0</v>
      </c>
      <c r="F8" s="248"/>
      <c r="H8" s="262" t="s">
        <v>29</v>
      </c>
      <c r="I8" s="262">
        <v>31666</v>
      </c>
    </row>
    <row r="9" spans="1:11" x14ac:dyDescent="0.25">
      <c r="A9" s="262" t="s">
        <v>260</v>
      </c>
      <c r="B9" s="262">
        <v>24567</v>
      </c>
      <c r="C9" s="262"/>
      <c r="D9" s="262">
        <v>24567</v>
      </c>
      <c r="E9" s="221">
        <f t="shared" si="0"/>
        <v>0</v>
      </c>
      <c r="F9" s="251"/>
      <c r="H9" s="262" t="s">
        <v>260</v>
      </c>
      <c r="I9" s="262">
        <v>24567</v>
      </c>
    </row>
    <row r="10" spans="1:11" x14ac:dyDescent="0.25">
      <c r="A10" s="262" t="s">
        <v>332</v>
      </c>
      <c r="B10" s="262">
        <v>60206</v>
      </c>
      <c r="C10" s="262">
        <v>60206</v>
      </c>
      <c r="D10" s="262"/>
      <c r="E10" s="221">
        <f t="shared" si="0"/>
        <v>0</v>
      </c>
      <c r="F10" s="248"/>
      <c r="H10" s="262" t="s">
        <v>332</v>
      </c>
      <c r="I10" s="262">
        <v>56234</v>
      </c>
    </row>
    <row r="11" spans="1:11" x14ac:dyDescent="0.25">
      <c r="A11" s="460" t="s">
        <v>12</v>
      </c>
      <c r="B11" s="250">
        <f>SUM(B4:B10)</f>
        <v>1542456</v>
      </c>
      <c r="C11" s="250">
        <f>SUM(C4:C10)</f>
        <v>710676</v>
      </c>
      <c r="D11" s="250">
        <f>SUM(D4:D9)</f>
        <v>383524</v>
      </c>
      <c r="E11" s="162">
        <f>SUM(E4:E10)</f>
        <v>448256</v>
      </c>
      <c r="F11" s="253"/>
      <c r="H11" s="464" t="s">
        <v>12</v>
      </c>
      <c r="I11" s="250">
        <f>SUM(I4:I10)</f>
        <v>1567184</v>
      </c>
    </row>
    <row r="13" spans="1:11" x14ac:dyDescent="0.25">
      <c r="G13" s="3"/>
      <c r="H13" s="3"/>
      <c r="I13" s="3"/>
      <c r="J13" s="3"/>
    </row>
    <row r="14" spans="1:11" ht="13.5" customHeight="1" x14ac:dyDescent="0.25">
      <c r="A14" s="461"/>
      <c r="B14" s="461"/>
      <c r="C14" s="325"/>
      <c r="D14" s="461"/>
      <c r="E14" s="459"/>
      <c r="G14" s="468"/>
      <c r="H14" s="468"/>
      <c r="I14" s="468"/>
      <c r="J14" s="468"/>
      <c r="K14" s="459"/>
    </row>
    <row r="15" spans="1:11" ht="13.5" customHeight="1" x14ac:dyDescent="0.25">
      <c r="A15" s="3"/>
      <c r="B15" s="461"/>
      <c r="C15" s="325"/>
      <c r="D15" s="461"/>
      <c r="E15" s="459"/>
      <c r="G15" s="468"/>
      <c r="H15" s="468"/>
      <c r="I15" s="468"/>
      <c r="J15" s="468"/>
      <c r="K15" s="459"/>
    </row>
    <row r="16" spans="1:11" ht="13.5" customHeight="1" x14ac:dyDescent="0.25">
      <c r="A16" s="752" t="s">
        <v>476</v>
      </c>
      <c r="B16" s="752"/>
      <c r="C16" s="752"/>
      <c r="D16" s="752"/>
      <c r="E16" s="459"/>
      <c r="F16" s="752" t="s">
        <v>525</v>
      </c>
      <c r="G16" s="752"/>
      <c r="H16" s="752"/>
      <c r="I16" s="752"/>
      <c r="J16" s="468"/>
      <c r="K16" s="459"/>
    </row>
    <row r="17" spans="1:11" ht="13.5" customHeight="1" x14ac:dyDescent="0.25">
      <c r="A17" s="455" t="s">
        <v>8</v>
      </c>
      <c r="B17" s="455" t="s">
        <v>498</v>
      </c>
      <c r="C17" s="456" t="s">
        <v>499</v>
      </c>
      <c r="D17" s="455"/>
      <c r="E17" s="316"/>
      <c r="F17" s="455" t="s">
        <v>8</v>
      </c>
      <c r="G17" s="455" t="s">
        <v>498</v>
      </c>
      <c r="H17" s="456" t="s">
        <v>499</v>
      </c>
      <c r="I17" s="455"/>
      <c r="J17" s="322"/>
      <c r="K17" s="316"/>
    </row>
    <row r="18" spans="1:11" x14ac:dyDescent="0.25">
      <c r="A18" s="13" t="s">
        <v>481</v>
      </c>
      <c r="B18" s="13">
        <v>40000</v>
      </c>
      <c r="C18" s="439">
        <v>42660</v>
      </c>
      <c r="D18" s="463" t="s">
        <v>506</v>
      </c>
      <c r="E18" s="3"/>
      <c r="F18" s="13" t="s">
        <v>526</v>
      </c>
      <c r="G18" s="13">
        <v>18570</v>
      </c>
      <c r="H18" s="439">
        <v>42668</v>
      </c>
      <c r="I18" s="474"/>
      <c r="J18" s="2"/>
      <c r="K18" s="3"/>
    </row>
    <row r="19" spans="1:11" x14ac:dyDescent="0.25">
      <c r="A19" s="13" t="s">
        <v>481</v>
      </c>
      <c r="B19" s="471">
        <v>20970</v>
      </c>
      <c r="C19" s="439">
        <v>42660</v>
      </c>
      <c r="D19" s="473"/>
      <c r="E19" s="3"/>
      <c r="F19" s="471"/>
      <c r="G19" s="471"/>
      <c r="H19" s="472"/>
      <c r="I19" s="473"/>
      <c r="J19" s="2"/>
      <c r="K19" s="3"/>
    </row>
    <row r="20" spans="1:11" x14ac:dyDescent="0.25">
      <c r="A20" s="442" t="s">
        <v>12</v>
      </c>
      <c r="B20" s="442">
        <f>SUM(B17:B19)</f>
        <v>60970</v>
      </c>
      <c r="C20" s="438"/>
      <c r="D20" s="438"/>
      <c r="E20" s="3"/>
      <c r="F20" s="442" t="s">
        <v>12</v>
      </c>
      <c r="G20" s="442">
        <f>SUM(G17:G19)</f>
        <v>18570</v>
      </c>
      <c r="H20" s="438"/>
      <c r="I20" s="438"/>
      <c r="J20" s="3"/>
    </row>
    <row r="21" spans="1:11" x14ac:dyDescent="0.25">
      <c r="A21" s="322"/>
      <c r="B21" s="468"/>
      <c r="C21" s="454"/>
      <c r="D21" s="454"/>
      <c r="E21" s="3"/>
      <c r="G21" s="3"/>
      <c r="H21" s="3"/>
      <c r="I21" s="3"/>
      <c r="J21" s="3"/>
    </row>
    <row r="22" spans="1:11" x14ac:dyDescent="0.25">
      <c r="A22" s="322"/>
      <c r="B22" s="461"/>
      <c r="C22" s="454"/>
      <c r="D22" s="454"/>
      <c r="E22" s="3"/>
    </row>
    <row r="23" spans="1:11" x14ac:dyDescent="0.25">
      <c r="A23" s="752" t="s">
        <v>477</v>
      </c>
      <c r="B23" s="752"/>
      <c r="C23" s="752"/>
      <c r="D23" s="752"/>
      <c r="E23" s="757"/>
    </row>
    <row r="24" spans="1:11" ht="15.75" x14ac:dyDescent="0.25">
      <c r="A24" s="455" t="s">
        <v>8</v>
      </c>
      <c r="B24" s="455" t="s">
        <v>498</v>
      </c>
      <c r="C24" s="456" t="s">
        <v>499</v>
      </c>
      <c r="D24" s="455"/>
      <c r="E24" s="757"/>
    </row>
    <row r="25" spans="1:11" x14ac:dyDescent="0.25">
      <c r="A25" s="449" t="s">
        <v>509</v>
      </c>
      <c r="B25" s="458">
        <v>16850</v>
      </c>
      <c r="C25" s="243">
        <v>42658</v>
      </c>
      <c r="D25" s="458" t="s">
        <v>510</v>
      </c>
      <c r="E25" s="757"/>
    </row>
    <row r="26" spans="1:11" x14ac:dyDescent="0.25">
      <c r="A26" s="449" t="s">
        <v>511</v>
      </c>
      <c r="B26" s="458">
        <v>26400</v>
      </c>
      <c r="C26" s="243">
        <v>42658</v>
      </c>
      <c r="D26" s="458"/>
      <c r="E26" s="757"/>
    </row>
    <row r="27" spans="1:11" x14ac:dyDescent="0.25">
      <c r="A27" s="449" t="s">
        <v>482</v>
      </c>
      <c r="B27" s="458">
        <v>24000</v>
      </c>
      <c r="C27" s="243">
        <v>42667</v>
      </c>
      <c r="D27" s="458" t="s">
        <v>543</v>
      </c>
      <c r="E27" s="757"/>
    </row>
    <row r="28" spans="1:11" x14ac:dyDescent="0.25">
      <c r="A28" s="449" t="s">
        <v>485</v>
      </c>
      <c r="B28" s="463">
        <v>80000</v>
      </c>
      <c r="C28" s="243">
        <v>42673</v>
      </c>
      <c r="D28" s="463" t="s">
        <v>512</v>
      </c>
      <c r="E28" s="757"/>
    </row>
    <row r="29" spans="1:11" x14ac:dyDescent="0.25">
      <c r="A29" s="450" t="s">
        <v>513</v>
      </c>
      <c r="B29" s="458">
        <v>10000</v>
      </c>
      <c r="C29" s="243">
        <v>42673</v>
      </c>
      <c r="D29" s="490" t="s">
        <v>501</v>
      </c>
      <c r="E29" s="757"/>
    </row>
    <row r="30" spans="1:11" x14ac:dyDescent="0.25">
      <c r="A30" s="449" t="s">
        <v>511</v>
      </c>
      <c r="B30" s="458">
        <v>6400</v>
      </c>
      <c r="C30" s="243">
        <v>42673</v>
      </c>
      <c r="D30" s="458"/>
      <c r="E30" s="757"/>
    </row>
    <row r="31" spans="1:11" x14ac:dyDescent="0.25">
      <c r="A31" s="449" t="s">
        <v>483</v>
      </c>
      <c r="B31" s="458">
        <v>15000</v>
      </c>
      <c r="C31" s="243">
        <v>42673</v>
      </c>
      <c r="D31" s="458"/>
      <c r="E31" s="757"/>
    </row>
    <row r="32" spans="1:11" x14ac:dyDescent="0.25">
      <c r="A32" s="449" t="s">
        <v>119</v>
      </c>
      <c r="B32" s="458">
        <v>11500</v>
      </c>
      <c r="C32" s="243">
        <v>42655</v>
      </c>
      <c r="D32" s="458"/>
      <c r="E32" s="757"/>
    </row>
    <row r="33" spans="1:6" x14ac:dyDescent="0.25">
      <c r="A33" s="449" t="s">
        <v>524</v>
      </c>
      <c r="B33" s="474">
        <v>16500</v>
      </c>
      <c r="C33" s="243">
        <v>42651</v>
      </c>
      <c r="D33" s="474" t="s">
        <v>346</v>
      </c>
      <c r="E33" s="757"/>
    </row>
    <row r="34" spans="1:6" x14ac:dyDescent="0.25">
      <c r="A34" s="449" t="s">
        <v>514</v>
      </c>
      <c r="B34" s="458">
        <v>17500</v>
      </c>
      <c r="C34" s="243">
        <v>42661</v>
      </c>
      <c r="D34" s="458"/>
      <c r="E34" s="757"/>
    </row>
    <row r="35" spans="1:6" x14ac:dyDescent="0.25">
      <c r="A35" s="449" t="s">
        <v>119</v>
      </c>
      <c r="B35" s="458">
        <v>30000</v>
      </c>
      <c r="C35" s="243">
        <v>42666</v>
      </c>
      <c r="D35" s="463" t="s">
        <v>515</v>
      </c>
      <c r="E35" s="757"/>
    </row>
    <row r="36" spans="1:6" x14ac:dyDescent="0.25">
      <c r="A36" s="449" t="s">
        <v>516</v>
      </c>
      <c r="B36" s="458">
        <v>7500</v>
      </c>
      <c r="C36" s="243">
        <v>42655</v>
      </c>
      <c r="D36" s="458" t="s">
        <v>503</v>
      </c>
      <c r="E36" s="757"/>
    </row>
    <row r="37" spans="1:6" x14ac:dyDescent="0.25">
      <c r="A37" s="449" t="s">
        <v>517</v>
      </c>
      <c r="B37" s="458">
        <v>20000</v>
      </c>
      <c r="C37" s="243">
        <v>42655</v>
      </c>
      <c r="D37" s="458"/>
      <c r="E37" s="757"/>
    </row>
    <row r="38" spans="1:6" x14ac:dyDescent="0.25">
      <c r="A38" s="451" t="s">
        <v>518</v>
      </c>
      <c r="B38" s="458">
        <v>29000</v>
      </c>
      <c r="C38" s="243">
        <v>42673</v>
      </c>
      <c r="D38" s="474" t="s">
        <v>501</v>
      </c>
      <c r="E38" s="757"/>
    </row>
    <row r="39" spans="1:6" x14ac:dyDescent="0.25">
      <c r="A39" s="458"/>
      <c r="B39" s="458"/>
      <c r="C39" s="243"/>
      <c r="D39" s="458"/>
      <c r="E39" s="459"/>
    </row>
    <row r="40" spans="1:6" x14ac:dyDescent="0.25">
      <c r="A40" s="276" t="s">
        <v>12</v>
      </c>
      <c r="B40" s="442">
        <f>SUM(B25:B39)</f>
        <v>310650</v>
      </c>
      <c r="C40" s="242"/>
      <c r="D40" s="276"/>
      <c r="E40" s="316"/>
    </row>
    <row r="41" spans="1:6" ht="23.25" customHeight="1" x14ac:dyDescent="0.25">
      <c r="A41" s="2"/>
      <c r="B41" s="6"/>
      <c r="C41" s="2"/>
      <c r="D41" s="2"/>
      <c r="E41" s="3"/>
      <c r="F41" s="312"/>
    </row>
    <row r="42" spans="1:6" ht="19.5" customHeight="1" x14ac:dyDescent="0.25">
      <c r="A42" s="752" t="s">
        <v>496</v>
      </c>
      <c r="B42" s="752"/>
      <c r="C42" s="752"/>
      <c r="D42" s="752"/>
      <c r="E42" s="313"/>
      <c r="F42" s="314"/>
    </row>
    <row r="43" spans="1:6" ht="19.5" customHeight="1" x14ac:dyDescent="0.25">
      <c r="A43" s="455" t="s">
        <v>8</v>
      </c>
      <c r="B43" s="455" t="s">
        <v>498</v>
      </c>
      <c r="C43" s="456" t="s">
        <v>499</v>
      </c>
      <c r="D43" s="455"/>
      <c r="E43" s="313"/>
      <c r="F43" s="314"/>
    </row>
    <row r="44" spans="1:6" x14ac:dyDescent="0.25">
      <c r="A44" s="13">
        <v>79529</v>
      </c>
      <c r="B44" s="13">
        <v>20000</v>
      </c>
      <c r="C44" s="439">
        <v>42661</v>
      </c>
      <c r="D44" s="458"/>
      <c r="E44" s="320"/>
      <c r="F44" s="3"/>
    </row>
    <row r="45" spans="1:6" x14ac:dyDescent="0.25">
      <c r="A45" s="13">
        <v>79532</v>
      </c>
      <c r="B45" s="13">
        <v>31362</v>
      </c>
      <c r="C45" s="439">
        <v>42661</v>
      </c>
      <c r="D45" s="288"/>
      <c r="E45" s="55"/>
      <c r="F45" s="3"/>
    </row>
    <row r="46" spans="1:6" x14ac:dyDescent="0.25">
      <c r="A46" s="13">
        <v>79520</v>
      </c>
      <c r="B46" s="13">
        <v>16650</v>
      </c>
      <c r="C46" s="439">
        <v>42661</v>
      </c>
      <c r="D46" s="288"/>
      <c r="E46" s="55"/>
      <c r="F46" s="3"/>
    </row>
    <row r="47" spans="1:6" x14ac:dyDescent="0.25">
      <c r="A47" s="13">
        <v>79429</v>
      </c>
      <c r="B47" s="13">
        <v>20944</v>
      </c>
      <c r="C47" s="439">
        <v>42678</v>
      </c>
      <c r="D47" s="463" t="s">
        <v>505</v>
      </c>
      <c r="E47" s="55"/>
      <c r="F47" s="3"/>
    </row>
    <row r="48" spans="1:6" x14ac:dyDescent="0.25">
      <c r="A48" s="13"/>
      <c r="B48" s="13"/>
      <c r="C48" s="439"/>
      <c r="D48" s="288"/>
      <c r="E48" s="79"/>
      <c r="F48" s="3"/>
    </row>
    <row r="49" spans="1:5" x14ac:dyDescent="0.25">
      <c r="A49" s="442" t="s">
        <v>12</v>
      </c>
      <c r="B49" s="442">
        <f>SUM(B43:B48)</f>
        <v>88956</v>
      </c>
      <c r="C49" s="438"/>
      <c r="D49" s="438"/>
      <c r="E49" s="3"/>
    </row>
    <row r="50" spans="1:5" x14ac:dyDescent="0.25">
      <c r="A50" s="322"/>
      <c r="B50" s="303"/>
      <c r="C50" s="304"/>
      <c r="D50" s="316"/>
      <c r="E50" s="3"/>
    </row>
    <row r="51" spans="1:5" x14ac:dyDescent="0.25">
      <c r="A51" s="322"/>
      <c r="B51" s="303"/>
      <c r="C51" s="304"/>
      <c r="D51" s="316"/>
      <c r="E51" s="3"/>
    </row>
    <row r="52" spans="1:5" x14ac:dyDescent="0.25">
      <c r="A52" s="322"/>
      <c r="B52" s="303"/>
      <c r="C52" s="304"/>
      <c r="D52" s="303"/>
      <c r="E52" s="3"/>
    </row>
    <row r="53" spans="1:5" x14ac:dyDescent="0.25">
      <c r="A53" s="303"/>
      <c r="B53" s="372"/>
      <c r="C53" s="304"/>
      <c r="D53" s="303"/>
      <c r="E53" s="3"/>
    </row>
    <row r="54" spans="1:5" x14ac:dyDescent="0.25">
      <c r="A54" s="3"/>
      <c r="B54" s="3"/>
      <c r="C54" s="3"/>
      <c r="D54" s="3"/>
      <c r="E54" s="3"/>
    </row>
    <row r="55" spans="1:5" x14ac:dyDescent="0.25">
      <c r="B55" s="238"/>
    </row>
  </sheetData>
  <mergeCells count="14">
    <mergeCell ref="A16:D16"/>
    <mergeCell ref="A23:D23"/>
    <mergeCell ref="E23:E38"/>
    <mergeCell ref="A42:D42"/>
    <mergeCell ref="A1:F1"/>
    <mergeCell ref="F16:I16"/>
    <mergeCell ref="H1:I1"/>
    <mergeCell ref="A2:A3"/>
    <mergeCell ref="B2:B3"/>
    <mergeCell ref="C2:D2"/>
    <mergeCell ref="E2:E3"/>
    <mergeCell ref="F2:F3"/>
    <mergeCell ref="H2:H3"/>
    <mergeCell ref="I2:I3"/>
  </mergeCells>
  <pageMargins left="0.7" right="0.7" top="0.5" bottom="0" header="0.3" footer="0"/>
  <pageSetup paperSize="9" scale="71" orientation="landscape" horizontalDpi="300" verticalDpi="300" r:id="rId1"/>
  <rowBreaks count="1" manualBreakCount="1">
    <brk id="50" max="8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opLeftCell="A18" zoomScaleNormal="100" workbookViewId="0">
      <selection activeCell="A42" sqref="A42"/>
    </sheetView>
  </sheetViews>
  <sheetFormatPr defaultRowHeight="15" x14ac:dyDescent="0.25"/>
  <cols>
    <col min="1" max="1" width="14.42578125" style="260" customWidth="1"/>
    <col min="2" max="3" width="12.140625" style="260" customWidth="1"/>
    <col min="4" max="4" width="13.140625" style="260" customWidth="1"/>
    <col min="5" max="5" width="16.140625" style="260" customWidth="1"/>
    <col min="6" max="6" width="27.42578125" style="260" customWidth="1"/>
    <col min="7" max="7" width="21.5703125" style="260" customWidth="1"/>
    <col min="8" max="9" width="14.5703125" style="260" customWidth="1"/>
    <col min="10" max="16384" width="9.140625" style="260"/>
  </cols>
  <sheetData>
    <row r="1" spans="1:11" ht="31.5" customHeight="1" x14ac:dyDescent="0.25">
      <c r="A1" s="744" t="s">
        <v>478</v>
      </c>
      <c r="B1" s="744"/>
      <c r="C1" s="744"/>
      <c r="D1" s="744"/>
      <c r="E1" s="744"/>
      <c r="F1" s="744"/>
      <c r="H1" s="745" t="s">
        <v>500</v>
      </c>
      <c r="I1" s="745"/>
    </row>
    <row r="2" spans="1:11" ht="19.5" customHeight="1" x14ac:dyDescent="0.25">
      <c r="A2" s="754" t="s">
        <v>7</v>
      </c>
      <c r="B2" s="754" t="s">
        <v>47</v>
      </c>
      <c r="C2" s="754" t="s">
        <v>199</v>
      </c>
      <c r="D2" s="754"/>
      <c r="E2" s="755" t="s">
        <v>32</v>
      </c>
      <c r="F2" s="754" t="s">
        <v>23</v>
      </c>
      <c r="H2" s="754" t="s">
        <v>7</v>
      </c>
      <c r="I2" s="754" t="s">
        <v>47</v>
      </c>
    </row>
    <row r="3" spans="1:11" ht="19.5" customHeight="1" x14ac:dyDescent="0.25">
      <c r="A3" s="754"/>
      <c r="B3" s="754"/>
      <c r="C3" s="445" t="s">
        <v>5</v>
      </c>
      <c r="D3" s="445" t="s">
        <v>152</v>
      </c>
      <c r="E3" s="756"/>
      <c r="F3" s="754"/>
      <c r="H3" s="754"/>
      <c r="I3" s="754"/>
    </row>
    <row r="4" spans="1:11" x14ac:dyDescent="0.25">
      <c r="A4" s="262" t="s">
        <v>11</v>
      </c>
      <c r="B4" s="264">
        <v>845005</v>
      </c>
      <c r="C4" s="264">
        <v>109091</v>
      </c>
      <c r="D4" s="264">
        <v>322900</v>
      </c>
      <c r="E4" s="221">
        <f>+B4-(C4+D4)</f>
        <v>413014</v>
      </c>
      <c r="F4" s="235"/>
      <c r="H4" s="262" t="s">
        <v>11</v>
      </c>
      <c r="I4" s="264">
        <v>845005</v>
      </c>
    </row>
    <row r="5" spans="1:11" x14ac:dyDescent="0.25">
      <c r="A5" s="262" t="s">
        <v>17</v>
      </c>
      <c r="B5" s="262">
        <v>150098</v>
      </c>
      <c r="C5" s="262">
        <v>42039</v>
      </c>
      <c r="D5" s="262">
        <v>108059</v>
      </c>
      <c r="E5" s="221">
        <f t="shared" ref="E5:E10" si="0">+B5-(C5+D5)</f>
        <v>0</v>
      </c>
      <c r="F5" s="36"/>
      <c r="H5" s="262" t="s">
        <v>17</v>
      </c>
      <c r="I5" s="262">
        <v>150098</v>
      </c>
    </row>
    <row r="6" spans="1:11" x14ac:dyDescent="0.25">
      <c r="A6" s="262" t="s">
        <v>24</v>
      </c>
      <c r="B6" s="264">
        <v>180064</v>
      </c>
      <c r="C6" s="264">
        <v>137805</v>
      </c>
      <c r="D6" s="264">
        <v>2829</v>
      </c>
      <c r="E6" s="221">
        <f t="shared" si="0"/>
        <v>39430</v>
      </c>
      <c r="F6" s="36"/>
      <c r="H6" s="262" t="s">
        <v>24</v>
      </c>
      <c r="I6" s="264">
        <v>180064</v>
      </c>
    </row>
    <row r="7" spans="1:11" x14ac:dyDescent="0.25">
      <c r="A7" s="262" t="s">
        <v>42</v>
      </c>
      <c r="B7" s="262">
        <v>552812</v>
      </c>
      <c r="C7" s="262">
        <v>440447</v>
      </c>
      <c r="D7" s="262"/>
      <c r="E7" s="221">
        <f t="shared" si="0"/>
        <v>112365</v>
      </c>
      <c r="F7" s="37"/>
      <c r="H7" s="262" t="s">
        <v>42</v>
      </c>
      <c r="I7" s="262">
        <v>652812</v>
      </c>
    </row>
    <row r="8" spans="1:11" x14ac:dyDescent="0.25">
      <c r="A8" s="262" t="s">
        <v>29</v>
      </c>
      <c r="B8" s="262">
        <v>24570</v>
      </c>
      <c r="C8" s="262">
        <v>24570</v>
      </c>
      <c r="D8" s="262"/>
      <c r="E8" s="221">
        <f t="shared" si="0"/>
        <v>0</v>
      </c>
      <c r="F8" s="248"/>
      <c r="H8" s="262" t="s">
        <v>29</v>
      </c>
      <c r="I8" s="262">
        <v>24570</v>
      </c>
    </row>
    <row r="9" spans="1:11" x14ac:dyDescent="0.25">
      <c r="A9" s="262" t="s">
        <v>260</v>
      </c>
      <c r="B9" s="262">
        <v>40763</v>
      </c>
      <c r="C9" s="262"/>
      <c r="D9" s="262">
        <v>40763</v>
      </c>
      <c r="E9" s="221">
        <f t="shared" si="0"/>
        <v>0</v>
      </c>
      <c r="F9" s="251"/>
      <c r="H9" s="262" t="s">
        <v>260</v>
      </c>
      <c r="I9" s="262">
        <v>40763</v>
      </c>
    </row>
    <row r="10" spans="1:11" x14ac:dyDescent="0.25">
      <c r="A10" s="262" t="s">
        <v>332</v>
      </c>
      <c r="B10" s="262">
        <v>0</v>
      </c>
      <c r="C10" s="262"/>
      <c r="D10" s="262"/>
      <c r="E10" s="221">
        <f t="shared" si="0"/>
        <v>0</v>
      </c>
      <c r="F10" s="248"/>
      <c r="H10" s="262" t="s">
        <v>332</v>
      </c>
      <c r="I10" s="262">
        <v>0</v>
      </c>
    </row>
    <row r="11" spans="1:11" x14ac:dyDescent="0.25">
      <c r="A11" s="445" t="s">
        <v>12</v>
      </c>
      <c r="B11" s="250">
        <f>SUM(B4:B10)</f>
        <v>1793312</v>
      </c>
      <c r="C11" s="250">
        <f>SUM(C4:C10)</f>
        <v>753952</v>
      </c>
      <c r="D11" s="250">
        <f>SUM(D4:D9)</f>
        <v>474551</v>
      </c>
      <c r="E11" s="162">
        <f>SUM(E4:E10)</f>
        <v>564809</v>
      </c>
      <c r="F11" s="253"/>
      <c r="H11" s="457" t="s">
        <v>12</v>
      </c>
      <c r="I11" s="250">
        <f>SUM(I4:I10)</f>
        <v>1893312</v>
      </c>
    </row>
    <row r="14" spans="1:11" ht="13.5" customHeight="1" x14ac:dyDescent="0.25">
      <c r="A14" s="446"/>
      <c r="B14" s="446"/>
      <c r="C14" s="325"/>
      <c r="D14" s="446"/>
      <c r="E14" s="443"/>
      <c r="G14" s="444"/>
      <c r="H14" s="444"/>
      <c r="I14" s="444"/>
      <c r="J14" s="444"/>
      <c r="K14" s="443"/>
    </row>
    <row r="15" spans="1:11" ht="13.5" customHeight="1" x14ac:dyDescent="0.25">
      <c r="A15" s="3"/>
      <c r="B15" s="444"/>
      <c r="C15" s="325"/>
      <c r="D15" s="444"/>
      <c r="E15" s="443"/>
      <c r="G15" s="444"/>
      <c r="H15" s="444"/>
      <c r="I15" s="444"/>
      <c r="J15" s="444"/>
      <c r="K15" s="443"/>
    </row>
    <row r="16" spans="1:11" ht="13.5" customHeight="1" x14ac:dyDescent="0.25">
      <c r="A16" s="752" t="s">
        <v>476</v>
      </c>
      <c r="B16" s="752"/>
      <c r="C16" s="752"/>
      <c r="D16" s="752"/>
      <c r="E16" s="443"/>
      <c r="G16" s="444"/>
      <c r="H16" s="444"/>
      <c r="I16" s="444"/>
      <c r="J16" s="444"/>
      <c r="K16" s="443"/>
    </row>
    <row r="17" spans="1:11" ht="13.5" customHeight="1" x14ac:dyDescent="0.25">
      <c r="A17" s="455" t="s">
        <v>8</v>
      </c>
      <c r="B17" s="455" t="s">
        <v>498</v>
      </c>
      <c r="C17" s="456" t="s">
        <v>499</v>
      </c>
      <c r="D17" s="455"/>
      <c r="E17" s="316"/>
      <c r="G17" s="322"/>
      <c r="H17" s="322"/>
      <c r="I17" s="324"/>
      <c r="J17" s="322"/>
      <c r="K17" s="316"/>
    </row>
    <row r="18" spans="1:11" x14ac:dyDescent="0.25">
      <c r="A18" s="13"/>
      <c r="B18" s="13"/>
      <c r="C18" s="439"/>
      <c r="D18" s="288"/>
      <c r="E18" s="3"/>
      <c r="G18" s="2"/>
      <c r="H18" s="6">
        <f>SUM(H17)</f>
        <v>0</v>
      </c>
      <c r="I18" s="2"/>
      <c r="J18" s="2"/>
      <c r="K18" s="3"/>
    </row>
    <row r="19" spans="1:11" x14ac:dyDescent="0.25">
      <c r="A19" s="13" t="s">
        <v>474</v>
      </c>
      <c r="B19" s="13">
        <v>110000</v>
      </c>
      <c r="C19" s="439">
        <v>42639</v>
      </c>
      <c r="D19" s="288"/>
      <c r="E19" s="3"/>
      <c r="G19" s="2"/>
      <c r="H19" s="6"/>
      <c r="I19" s="2"/>
      <c r="J19" s="2"/>
      <c r="K19" s="3"/>
    </row>
    <row r="20" spans="1:11" x14ac:dyDescent="0.25">
      <c r="A20" s="13"/>
      <c r="B20" s="13"/>
      <c r="C20" s="439"/>
      <c r="D20" s="288"/>
      <c r="E20" s="3"/>
      <c r="G20" s="2"/>
      <c r="H20" s="6"/>
      <c r="I20" s="2"/>
      <c r="J20" s="2"/>
      <c r="K20" s="3"/>
    </row>
    <row r="21" spans="1:11" x14ac:dyDescent="0.25">
      <c r="A21" s="442" t="s">
        <v>12</v>
      </c>
      <c r="B21" s="442">
        <f>SUM(B17:B19)</f>
        <v>110000</v>
      </c>
      <c r="C21" s="438"/>
      <c r="D21" s="438"/>
      <c r="E21" s="3"/>
    </row>
    <row r="22" spans="1:11" x14ac:dyDescent="0.25">
      <c r="A22" s="452"/>
      <c r="B22" s="440"/>
      <c r="C22" s="453"/>
      <c r="D22" s="453"/>
      <c r="E22" s="3"/>
    </row>
    <row r="23" spans="1:11" x14ac:dyDescent="0.25">
      <c r="A23" s="322"/>
      <c r="B23" s="448"/>
      <c r="C23" s="454"/>
      <c r="D23" s="454"/>
      <c r="E23" s="3"/>
    </row>
    <row r="24" spans="1:11" x14ac:dyDescent="0.25">
      <c r="A24" s="752" t="s">
        <v>477</v>
      </c>
      <c r="B24" s="752"/>
      <c r="C24" s="752"/>
      <c r="D24" s="752"/>
      <c r="E24" s="757"/>
    </row>
    <row r="25" spans="1:11" ht="15.75" x14ac:dyDescent="0.25">
      <c r="A25" s="455" t="s">
        <v>8</v>
      </c>
      <c r="B25" s="455" t="s">
        <v>498</v>
      </c>
      <c r="C25" s="456" t="s">
        <v>499</v>
      </c>
      <c r="D25" s="455"/>
      <c r="E25" s="757"/>
    </row>
    <row r="26" spans="1:11" x14ac:dyDescent="0.25">
      <c r="A26" s="449" t="s">
        <v>482</v>
      </c>
      <c r="B26" s="447">
        <v>40000</v>
      </c>
      <c r="C26" s="243">
        <v>42628</v>
      </c>
      <c r="D26" s="447" t="s">
        <v>491</v>
      </c>
      <c r="E26" s="757"/>
    </row>
    <row r="27" spans="1:11" x14ac:dyDescent="0.25">
      <c r="A27" s="449" t="s">
        <v>483</v>
      </c>
      <c r="B27" s="447">
        <v>17014</v>
      </c>
      <c r="C27" s="243">
        <v>42639</v>
      </c>
      <c r="D27" s="447" t="s">
        <v>492</v>
      </c>
      <c r="E27" s="757"/>
    </row>
    <row r="28" spans="1:11" x14ac:dyDescent="0.25">
      <c r="A28" s="449" t="s">
        <v>484</v>
      </c>
      <c r="B28" s="447">
        <v>37000</v>
      </c>
      <c r="C28" s="243">
        <v>42643</v>
      </c>
      <c r="D28" s="447" t="s">
        <v>493</v>
      </c>
      <c r="E28" s="757"/>
    </row>
    <row r="29" spans="1:11" x14ac:dyDescent="0.25">
      <c r="A29" s="449" t="s">
        <v>460</v>
      </c>
      <c r="B29" s="447">
        <v>9500</v>
      </c>
      <c r="C29" s="243">
        <v>42632</v>
      </c>
      <c r="D29" s="447"/>
      <c r="E29" s="757"/>
    </row>
    <row r="30" spans="1:11" x14ac:dyDescent="0.25">
      <c r="A30" s="450" t="s">
        <v>392</v>
      </c>
      <c r="B30" s="447">
        <v>23500</v>
      </c>
      <c r="C30" s="243">
        <v>42643</v>
      </c>
      <c r="D30" s="447"/>
      <c r="E30" s="757"/>
    </row>
    <row r="31" spans="1:11" x14ac:dyDescent="0.25">
      <c r="A31" s="449" t="s">
        <v>485</v>
      </c>
      <c r="B31" s="447">
        <v>103000</v>
      </c>
      <c r="C31" s="243">
        <v>42632</v>
      </c>
      <c r="D31" s="447" t="s">
        <v>494</v>
      </c>
      <c r="E31" s="757"/>
    </row>
    <row r="32" spans="1:11" x14ac:dyDescent="0.25">
      <c r="A32" s="449" t="s">
        <v>486</v>
      </c>
      <c r="B32" s="447">
        <v>12000</v>
      </c>
      <c r="C32" s="243">
        <v>42642</v>
      </c>
      <c r="D32" s="447"/>
      <c r="E32" s="757"/>
    </row>
    <row r="33" spans="1:6" x14ac:dyDescent="0.25">
      <c r="A33" s="449" t="s">
        <v>487</v>
      </c>
      <c r="B33" s="447">
        <v>17000</v>
      </c>
      <c r="C33" s="243">
        <v>42632</v>
      </c>
      <c r="D33" s="462" t="s">
        <v>503</v>
      </c>
      <c r="E33" s="757"/>
    </row>
    <row r="34" spans="1:6" x14ac:dyDescent="0.25">
      <c r="A34" s="449" t="s">
        <v>488</v>
      </c>
      <c r="B34" s="447">
        <v>19000</v>
      </c>
      <c r="C34" s="243">
        <v>42639</v>
      </c>
      <c r="D34" s="447"/>
      <c r="E34" s="757"/>
    </row>
    <row r="35" spans="1:6" x14ac:dyDescent="0.25">
      <c r="A35" s="449" t="s">
        <v>119</v>
      </c>
      <c r="B35" s="447">
        <v>5500</v>
      </c>
      <c r="C35" s="243">
        <v>42629</v>
      </c>
      <c r="D35" s="447" t="s">
        <v>502</v>
      </c>
      <c r="E35" s="757"/>
    </row>
    <row r="36" spans="1:6" x14ac:dyDescent="0.25">
      <c r="A36" s="449" t="s">
        <v>119</v>
      </c>
      <c r="B36" s="447">
        <v>12500</v>
      </c>
      <c r="C36" s="243">
        <v>42631</v>
      </c>
      <c r="D36" s="447"/>
      <c r="E36" s="757"/>
    </row>
    <row r="37" spans="1:6" x14ac:dyDescent="0.25">
      <c r="A37" s="449" t="s">
        <v>119</v>
      </c>
      <c r="B37" s="447">
        <v>6000</v>
      </c>
      <c r="C37" s="243">
        <v>42631</v>
      </c>
      <c r="D37" s="447"/>
      <c r="E37" s="757"/>
    </row>
    <row r="38" spans="1:6" x14ac:dyDescent="0.25">
      <c r="A38" s="449" t="s">
        <v>119</v>
      </c>
      <c r="B38" s="447">
        <v>9500</v>
      </c>
      <c r="C38" s="243">
        <v>42641</v>
      </c>
      <c r="D38" s="465" t="s">
        <v>503</v>
      </c>
      <c r="E38" s="757"/>
    </row>
    <row r="39" spans="1:6" x14ac:dyDescent="0.25">
      <c r="A39" s="449" t="s">
        <v>119</v>
      </c>
      <c r="B39" s="447">
        <v>24500</v>
      </c>
      <c r="C39" s="243">
        <v>42641</v>
      </c>
      <c r="D39" s="447"/>
      <c r="E39" s="757"/>
    </row>
    <row r="40" spans="1:6" x14ac:dyDescent="0.25">
      <c r="A40" s="451" t="s">
        <v>489</v>
      </c>
      <c r="B40" s="447">
        <v>12000</v>
      </c>
      <c r="C40" s="243">
        <v>42642</v>
      </c>
      <c r="D40" s="467" t="s">
        <v>501</v>
      </c>
      <c r="E40" s="757"/>
    </row>
    <row r="41" spans="1:6" x14ac:dyDescent="0.25">
      <c r="A41" s="451" t="s">
        <v>490</v>
      </c>
      <c r="B41" s="447">
        <v>50000</v>
      </c>
      <c r="C41" s="243">
        <v>42640</v>
      </c>
      <c r="D41" s="447" t="s">
        <v>495</v>
      </c>
      <c r="E41" s="757"/>
    </row>
    <row r="42" spans="1:6" x14ac:dyDescent="0.25">
      <c r="A42" s="469" t="s">
        <v>521</v>
      </c>
      <c r="B42" s="469">
        <v>16000</v>
      </c>
      <c r="C42" s="470">
        <v>42646</v>
      </c>
      <c r="D42" s="469" t="s">
        <v>346</v>
      </c>
      <c r="E42" s="443"/>
    </row>
    <row r="43" spans="1:6" x14ac:dyDescent="0.25">
      <c r="A43" s="469" t="s">
        <v>522</v>
      </c>
      <c r="B43" s="469">
        <v>15000</v>
      </c>
      <c r="C43" s="470">
        <v>42642</v>
      </c>
      <c r="D43" s="469" t="s">
        <v>346</v>
      </c>
      <c r="E43" s="466"/>
    </row>
    <row r="44" spans="1:6" x14ac:dyDescent="0.25">
      <c r="A44" s="276" t="s">
        <v>12</v>
      </c>
      <c r="B44" s="442">
        <f>SUM(B26:B43)</f>
        <v>429014</v>
      </c>
      <c r="C44" s="242"/>
      <c r="D44" s="276"/>
      <c r="E44" s="316"/>
    </row>
    <row r="45" spans="1:6" ht="23.25" customHeight="1" x14ac:dyDescent="0.25">
      <c r="A45" s="2"/>
      <c r="B45" s="6"/>
      <c r="C45" s="2"/>
      <c r="D45" s="2"/>
      <c r="E45" s="3"/>
      <c r="F45" s="312"/>
    </row>
    <row r="46" spans="1:6" ht="19.5" customHeight="1" x14ac:dyDescent="0.25">
      <c r="A46" s="752" t="s">
        <v>496</v>
      </c>
      <c r="B46" s="752"/>
      <c r="C46" s="752"/>
      <c r="D46" s="752"/>
      <c r="E46" s="313"/>
      <c r="F46" s="314"/>
    </row>
    <row r="47" spans="1:6" ht="19.5" customHeight="1" x14ac:dyDescent="0.25">
      <c r="A47" s="455" t="s">
        <v>8</v>
      </c>
      <c r="B47" s="455" t="s">
        <v>498</v>
      </c>
      <c r="C47" s="456" t="s">
        <v>499</v>
      </c>
      <c r="D47" s="455"/>
      <c r="E47" s="313"/>
      <c r="F47" s="314"/>
    </row>
    <row r="48" spans="1:6" x14ac:dyDescent="0.25">
      <c r="A48" s="13">
        <v>79290</v>
      </c>
      <c r="B48" s="13">
        <v>20000</v>
      </c>
      <c r="C48" s="439">
        <v>42622</v>
      </c>
      <c r="D48" s="447" t="s">
        <v>497</v>
      </c>
      <c r="E48" s="320"/>
      <c r="F48" s="3"/>
    </row>
    <row r="49" spans="1:6" x14ac:dyDescent="0.25">
      <c r="A49" s="13">
        <v>79322</v>
      </c>
      <c r="B49" s="13">
        <v>28790</v>
      </c>
      <c r="C49" s="439">
        <v>42645</v>
      </c>
      <c r="D49" s="288"/>
      <c r="E49" s="55"/>
      <c r="F49" s="3"/>
    </row>
    <row r="50" spans="1:6" x14ac:dyDescent="0.25">
      <c r="A50" s="13">
        <v>79249</v>
      </c>
      <c r="B50" s="13">
        <v>9360</v>
      </c>
      <c r="C50" s="439">
        <v>42636</v>
      </c>
      <c r="D50" s="288" t="s">
        <v>501</v>
      </c>
      <c r="E50" s="79"/>
      <c r="F50" s="3"/>
    </row>
    <row r="51" spans="1:6" x14ac:dyDescent="0.25">
      <c r="A51" s="276" t="s">
        <v>12</v>
      </c>
      <c r="B51" s="442">
        <f>SUM(B47:B49)</f>
        <v>48790</v>
      </c>
      <c r="C51" s="438"/>
      <c r="D51" s="438"/>
      <c r="E51" s="3"/>
    </row>
    <row r="52" spans="1:6" x14ac:dyDescent="0.25">
      <c r="A52" s="322"/>
      <c r="B52" s="303"/>
      <c r="C52" s="304"/>
      <c r="D52" s="316"/>
      <c r="E52" s="3"/>
    </row>
    <row r="53" spans="1:6" x14ac:dyDescent="0.25">
      <c r="A53" s="322"/>
      <c r="B53" s="303"/>
      <c r="C53" s="304"/>
      <c r="D53" s="316"/>
      <c r="E53" s="3"/>
    </row>
    <row r="54" spans="1:6" x14ac:dyDescent="0.25">
      <c r="A54" s="322"/>
      <c r="B54" s="303"/>
      <c r="C54" s="304"/>
      <c r="D54" s="303"/>
      <c r="E54" s="3"/>
    </row>
    <row r="55" spans="1:6" x14ac:dyDescent="0.25">
      <c r="A55" s="303"/>
      <c r="B55" s="372"/>
      <c r="C55" s="304"/>
      <c r="D55" s="303"/>
      <c r="E55" s="3"/>
    </row>
    <row r="56" spans="1:6" x14ac:dyDescent="0.25">
      <c r="A56" s="3"/>
      <c r="B56" s="3"/>
      <c r="C56" s="3"/>
      <c r="D56" s="3"/>
      <c r="E56" s="3"/>
    </row>
    <row r="57" spans="1:6" x14ac:dyDescent="0.25">
      <c r="B57" s="238"/>
    </row>
  </sheetData>
  <mergeCells count="13">
    <mergeCell ref="H1:I1"/>
    <mergeCell ref="A2:A3"/>
    <mergeCell ref="B2:B3"/>
    <mergeCell ref="C2:D2"/>
    <mergeCell ref="E2:E3"/>
    <mergeCell ref="F2:F3"/>
    <mergeCell ref="H2:H3"/>
    <mergeCell ref="I2:I3"/>
    <mergeCell ref="A16:D16"/>
    <mergeCell ref="A24:D24"/>
    <mergeCell ref="E24:E41"/>
    <mergeCell ref="A46:D46"/>
    <mergeCell ref="A1:F1"/>
  </mergeCells>
  <pageMargins left="0.7" right="0.7" top="0.5" bottom="0" header="0.3" footer="0"/>
  <pageSetup paperSize="9" scale="85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opLeftCell="A5" zoomScaleNormal="100" workbookViewId="0">
      <selection activeCell="D29" sqref="D29"/>
    </sheetView>
  </sheetViews>
  <sheetFormatPr defaultRowHeight="15" x14ac:dyDescent="0.25"/>
  <cols>
    <col min="1" max="1" width="14.42578125" style="260" customWidth="1"/>
    <col min="2" max="4" width="12.140625" style="260" customWidth="1"/>
    <col min="5" max="5" width="16.140625" style="260" customWidth="1"/>
    <col min="6" max="6" width="27.42578125" style="260" customWidth="1"/>
    <col min="7" max="7" width="21.5703125" style="260" customWidth="1"/>
    <col min="8" max="9" width="14.5703125" style="260" customWidth="1"/>
    <col min="10" max="16384" width="9.140625" style="260"/>
  </cols>
  <sheetData>
    <row r="1" spans="1:11" ht="31.5" customHeight="1" x14ac:dyDescent="0.25">
      <c r="A1" s="744" t="s">
        <v>464</v>
      </c>
      <c r="B1" s="744"/>
      <c r="C1" s="744"/>
      <c r="D1" s="744"/>
      <c r="E1" s="744"/>
      <c r="F1" s="744"/>
      <c r="H1" s="745" t="s">
        <v>465</v>
      </c>
      <c r="I1" s="745"/>
    </row>
    <row r="2" spans="1:11" ht="19.5" customHeight="1" x14ac:dyDescent="0.25">
      <c r="A2" s="754" t="s">
        <v>7</v>
      </c>
      <c r="B2" s="754" t="s">
        <v>47</v>
      </c>
      <c r="C2" s="754" t="s">
        <v>199</v>
      </c>
      <c r="D2" s="754"/>
      <c r="E2" s="755" t="s">
        <v>32</v>
      </c>
      <c r="F2" s="754" t="s">
        <v>23</v>
      </c>
      <c r="H2" s="754" t="s">
        <v>7</v>
      </c>
      <c r="I2" s="754" t="s">
        <v>47</v>
      </c>
    </row>
    <row r="3" spans="1:11" ht="19.5" customHeight="1" x14ac:dyDescent="0.25">
      <c r="A3" s="754"/>
      <c r="B3" s="754"/>
      <c r="C3" s="426" t="s">
        <v>5</v>
      </c>
      <c r="D3" s="426" t="s">
        <v>152</v>
      </c>
      <c r="E3" s="756"/>
      <c r="F3" s="754"/>
      <c r="H3" s="754"/>
      <c r="I3" s="754"/>
    </row>
    <row r="4" spans="1:11" x14ac:dyDescent="0.25">
      <c r="A4" s="262" t="s">
        <v>11</v>
      </c>
      <c r="B4" s="264">
        <v>310284</v>
      </c>
      <c r="C4" s="264">
        <v>38284</v>
      </c>
      <c r="D4" s="264">
        <v>242500</v>
      </c>
      <c r="E4" s="221">
        <f>+B4-(C4+D4)</f>
        <v>29500</v>
      </c>
      <c r="F4" s="235"/>
      <c r="H4" s="262" t="s">
        <v>11</v>
      </c>
      <c r="I4" s="264">
        <v>330284</v>
      </c>
    </row>
    <row r="5" spans="1:11" x14ac:dyDescent="0.25">
      <c r="A5" s="262" t="s">
        <v>17</v>
      </c>
      <c r="B5" s="262">
        <v>115542</v>
      </c>
      <c r="C5" s="262">
        <v>64212</v>
      </c>
      <c r="D5" s="262">
        <v>51330</v>
      </c>
      <c r="E5" s="221">
        <f t="shared" ref="E5:E6" si="0">+B5-(C5+D5)</f>
        <v>0</v>
      </c>
      <c r="F5" s="36"/>
      <c r="H5" s="262" t="s">
        <v>17</v>
      </c>
      <c r="I5" s="262">
        <v>107534</v>
      </c>
    </row>
    <row r="6" spans="1:11" x14ac:dyDescent="0.25">
      <c r="A6" s="262" t="s">
        <v>24</v>
      </c>
      <c r="B6" s="264">
        <v>18506</v>
      </c>
      <c r="C6" s="264">
        <v>18506</v>
      </c>
      <c r="D6" s="264"/>
      <c r="E6" s="221">
        <f t="shared" si="0"/>
        <v>0</v>
      </c>
      <c r="F6" s="36"/>
      <c r="H6" s="262" t="s">
        <v>24</v>
      </c>
      <c r="I6" s="264">
        <v>14506</v>
      </c>
    </row>
    <row r="7" spans="1:11" x14ac:dyDescent="0.25">
      <c r="A7" s="262" t="s">
        <v>42</v>
      </c>
      <c r="B7" s="262">
        <v>452365</v>
      </c>
      <c r="C7" s="262">
        <v>393411</v>
      </c>
      <c r="D7" s="262"/>
      <c r="E7" s="221">
        <f>+B7-(C7+D7)</f>
        <v>58954</v>
      </c>
      <c r="F7" s="37"/>
      <c r="H7" s="262" t="s">
        <v>42</v>
      </c>
      <c r="I7" s="262">
        <v>521770</v>
      </c>
    </row>
    <row r="8" spans="1:11" x14ac:dyDescent="0.25">
      <c r="A8" s="262" t="s">
        <v>29</v>
      </c>
      <c r="B8" s="262">
        <v>17184</v>
      </c>
      <c r="C8" s="262">
        <v>17184</v>
      </c>
      <c r="D8" s="262"/>
      <c r="E8" s="221">
        <f t="shared" ref="E8:E10" si="1">+B8-(C8+D8)</f>
        <v>0</v>
      </c>
      <c r="F8" s="248"/>
      <c r="H8" s="262" t="s">
        <v>29</v>
      </c>
      <c r="I8" s="262">
        <v>17184</v>
      </c>
    </row>
    <row r="9" spans="1:11" x14ac:dyDescent="0.25">
      <c r="A9" s="262" t="s">
        <v>260</v>
      </c>
      <c r="B9" s="262">
        <v>44160</v>
      </c>
      <c r="C9" s="262"/>
      <c r="D9" s="262">
        <v>44160</v>
      </c>
      <c r="E9" s="221">
        <f t="shared" si="1"/>
        <v>0</v>
      </c>
      <c r="F9" s="251"/>
      <c r="H9" s="262" t="s">
        <v>260</v>
      </c>
      <c r="I9" s="262">
        <v>44160</v>
      </c>
    </row>
    <row r="10" spans="1:11" x14ac:dyDescent="0.25">
      <c r="A10" s="262" t="s">
        <v>332</v>
      </c>
      <c r="B10" s="262">
        <v>6090</v>
      </c>
      <c r="C10" s="262">
        <v>6090</v>
      </c>
      <c r="D10" s="262"/>
      <c r="E10" s="221">
        <f t="shared" si="1"/>
        <v>0</v>
      </c>
      <c r="F10" s="248"/>
      <c r="H10" s="262" t="s">
        <v>332</v>
      </c>
      <c r="I10" s="262">
        <v>6090</v>
      </c>
    </row>
    <row r="11" spans="1:11" x14ac:dyDescent="0.25">
      <c r="A11" s="426" t="s">
        <v>12</v>
      </c>
      <c r="B11" s="250">
        <f>SUM(B4:B10)</f>
        <v>964131</v>
      </c>
      <c r="C11" s="250">
        <f>SUM(C4:C10)</f>
        <v>537687</v>
      </c>
      <c r="D11" s="250">
        <f>SUM(D4:D9)</f>
        <v>337990</v>
      </c>
      <c r="E11" s="162">
        <f>SUM(E4:E10)</f>
        <v>88454</v>
      </c>
      <c r="F11" s="253"/>
      <c r="H11" s="436" t="s">
        <v>12</v>
      </c>
      <c r="I11" s="250">
        <f>SUM(I4:I10)</f>
        <v>1041528</v>
      </c>
    </row>
    <row r="14" spans="1:11" x14ac:dyDescent="0.25">
      <c r="A14" s="752" t="s">
        <v>475</v>
      </c>
      <c r="B14" s="752"/>
      <c r="C14" s="752"/>
      <c r="D14" s="752"/>
      <c r="E14" s="757"/>
      <c r="G14" s="743"/>
      <c r="H14" s="743"/>
      <c r="I14" s="743"/>
      <c r="J14" s="743"/>
      <c r="K14" s="757"/>
    </row>
    <row r="15" spans="1:11" ht="13.5" customHeight="1" x14ac:dyDescent="0.25">
      <c r="A15" s="433" t="s">
        <v>470</v>
      </c>
      <c r="B15" s="433">
        <v>4200</v>
      </c>
      <c r="C15" s="243">
        <v>42583</v>
      </c>
      <c r="D15" s="433"/>
      <c r="E15" s="757"/>
      <c r="G15" s="427"/>
      <c r="H15" s="427"/>
      <c r="I15" s="427"/>
      <c r="J15" s="427"/>
      <c r="K15" s="757"/>
    </row>
    <row r="16" spans="1:11" ht="13.5" customHeight="1" x14ac:dyDescent="0.25">
      <c r="A16" s="440"/>
      <c r="B16" s="440"/>
      <c r="C16" s="441"/>
      <c r="D16" s="440"/>
      <c r="E16" s="435"/>
      <c r="G16" s="434"/>
      <c r="H16" s="434"/>
      <c r="I16" s="434"/>
      <c r="J16" s="434"/>
      <c r="K16" s="435"/>
    </row>
    <row r="17" spans="1:11" ht="13.5" customHeight="1" x14ac:dyDescent="0.25">
      <c r="A17" s="3"/>
      <c r="B17" s="434"/>
      <c r="C17" s="325"/>
      <c r="D17" s="434"/>
      <c r="E17" s="435"/>
      <c r="G17" s="434"/>
      <c r="H17" s="434"/>
      <c r="I17" s="434"/>
      <c r="J17" s="434"/>
      <c r="K17" s="435"/>
    </row>
    <row r="18" spans="1:11" ht="13.5" customHeight="1" x14ac:dyDescent="0.25">
      <c r="A18" s="752" t="s">
        <v>476</v>
      </c>
      <c r="B18" s="752"/>
      <c r="C18" s="752"/>
      <c r="D18" s="752"/>
      <c r="E18" s="430"/>
      <c r="G18" s="427"/>
      <c r="H18" s="427"/>
      <c r="I18" s="427"/>
      <c r="J18" s="427"/>
      <c r="K18" s="430"/>
    </row>
    <row r="19" spans="1:11" ht="13.5" customHeight="1" x14ac:dyDescent="0.25">
      <c r="A19" s="424"/>
      <c r="B19" s="276"/>
      <c r="C19" s="243"/>
      <c r="D19" s="437"/>
      <c r="E19" s="316"/>
      <c r="G19" s="322"/>
      <c r="H19" s="322"/>
      <c r="I19" s="324"/>
      <c r="J19" s="322"/>
      <c r="K19" s="316"/>
    </row>
    <row r="20" spans="1:11" x14ac:dyDescent="0.25">
      <c r="A20" s="13" t="s">
        <v>474</v>
      </c>
      <c r="B20" s="13">
        <v>58954</v>
      </c>
      <c r="C20" s="439">
        <v>42590</v>
      </c>
      <c r="D20" s="288"/>
      <c r="E20" s="3"/>
      <c r="G20" s="2"/>
      <c r="H20" s="6">
        <f>SUM(H19)</f>
        <v>0</v>
      </c>
      <c r="I20" s="2"/>
      <c r="J20" s="2"/>
      <c r="K20" s="3"/>
    </row>
    <row r="21" spans="1:11" x14ac:dyDescent="0.25">
      <c r="A21" s="276" t="s">
        <v>12</v>
      </c>
      <c r="B21" s="442">
        <f>SUM(B19:B20)</f>
        <v>58954</v>
      </c>
      <c r="C21" s="438"/>
      <c r="D21" s="438"/>
      <c r="E21" s="3"/>
    </row>
    <row r="22" spans="1:11" x14ac:dyDescent="0.25">
      <c r="A22" s="276"/>
      <c r="B22" s="437"/>
      <c r="C22" s="438"/>
      <c r="D22" s="438"/>
      <c r="E22" s="3"/>
    </row>
    <row r="23" spans="1:11" x14ac:dyDescent="0.25">
      <c r="A23" s="752" t="s">
        <v>477</v>
      </c>
      <c r="B23" s="752"/>
      <c r="C23" s="752"/>
      <c r="D23" s="752"/>
      <c r="E23" s="757"/>
    </row>
    <row r="24" spans="1:11" x14ac:dyDescent="0.25">
      <c r="A24" s="433" t="s">
        <v>472</v>
      </c>
      <c r="B24" s="433">
        <v>16000</v>
      </c>
      <c r="C24" s="243">
        <v>42583</v>
      </c>
      <c r="D24" s="433" t="s">
        <v>473</v>
      </c>
      <c r="E24" s="757"/>
    </row>
    <row r="25" spans="1:11" x14ac:dyDescent="0.25">
      <c r="A25" s="433" t="s">
        <v>426</v>
      </c>
      <c r="B25" s="433">
        <v>13500</v>
      </c>
      <c r="C25" s="243">
        <v>42602</v>
      </c>
      <c r="D25" s="433"/>
      <c r="E25" s="432"/>
    </row>
    <row r="26" spans="1:11" x14ac:dyDescent="0.25">
      <c r="A26" s="433"/>
      <c r="B26" s="433"/>
      <c r="C26" s="243"/>
      <c r="D26" s="433"/>
      <c r="E26" s="432"/>
    </row>
    <row r="27" spans="1:11" x14ac:dyDescent="0.25">
      <c r="A27" s="276" t="s">
        <v>12</v>
      </c>
      <c r="B27" s="442">
        <f>SUM(B24:B26)</f>
        <v>29500</v>
      </c>
      <c r="C27" s="242"/>
      <c r="D27" s="276"/>
      <c r="E27" s="316"/>
    </row>
    <row r="28" spans="1:11" ht="23.25" customHeight="1" x14ac:dyDescent="0.25">
      <c r="A28" s="2"/>
      <c r="B28" s="6"/>
      <c r="C28" s="2"/>
      <c r="D28" s="2"/>
      <c r="E28" s="3"/>
      <c r="F28" s="312"/>
    </row>
    <row r="29" spans="1:11" ht="19.5" customHeight="1" x14ac:dyDescent="0.25">
      <c r="A29" s="429"/>
      <c r="B29" s="429"/>
      <c r="C29" s="429"/>
      <c r="D29" s="429"/>
      <c r="E29" s="313"/>
      <c r="F29" s="314"/>
    </row>
    <row r="30" spans="1:11" ht="19.5" customHeight="1" x14ac:dyDescent="0.25">
      <c r="A30" s="322"/>
      <c r="B30" s="303"/>
      <c r="C30" s="304"/>
      <c r="D30" s="316"/>
      <c r="E30" s="313"/>
      <c r="F30" s="314"/>
    </row>
    <row r="31" spans="1:11" x14ac:dyDescent="0.25">
      <c r="A31" s="758"/>
      <c r="B31" s="758"/>
      <c r="C31" s="758"/>
      <c r="D31" s="758"/>
      <c r="E31" s="320"/>
      <c r="F31" s="3"/>
    </row>
    <row r="32" spans="1:11" x14ac:dyDescent="0.25">
      <c r="A32" s="429"/>
      <c r="B32" s="429"/>
      <c r="C32" s="429"/>
      <c r="D32" s="429"/>
      <c r="E32" s="55"/>
      <c r="F32" s="3"/>
    </row>
    <row r="33" spans="1:6" x14ac:dyDescent="0.25">
      <c r="A33" s="322"/>
      <c r="B33" s="303"/>
      <c r="C33" s="304"/>
      <c r="D33" s="316"/>
      <c r="E33" s="79"/>
      <c r="F33" s="3"/>
    </row>
    <row r="34" spans="1:6" x14ac:dyDescent="0.25">
      <c r="A34" s="322"/>
      <c r="B34" s="303"/>
      <c r="C34" s="304"/>
      <c r="D34" s="316"/>
      <c r="E34" s="3"/>
    </row>
    <row r="35" spans="1:6" x14ac:dyDescent="0.25">
      <c r="A35" s="322"/>
      <c r="B35" s="303"/>
      <c r="C35" s="304"/>
      <c r="D35" s="316"/>
      <c r="E35" s="3"/>
    </row>
    <row r="36" spans="1:6" x14ac:dyDescent="0.25">
      <c r="A36" s="322"/>
      <c r="B36" s="303"/>
      <c r="C36" s="304"/>
      <c r="D36" s="316"/>
      <c r="E36" s="3"/>
    </row>
    <row r="37" spans="1:6" x14ac:dyDescent="0.25">
      <c r="A37" s="322"/>
      <c r="B37" s="303"/>
      <c r="C37" s="304"/>
      <c r="D37" s="303"/>
      <c r="E37" s="3"/>
    </row>
    <row r="38" spans="1:6" x14ac:dyDescent="0.25">
      <c r="A38" s="303"/>
      <c r="B38" s="372"/>
      <c r="C38" s="304"/>
      <c r="D38" s="303"/>
      <c r="E38" s="3"/>
    </row>
    <row r="39" spans="1:6" x14ac:dyDescent="0.25">
      <c r="A39" s="3"/>
      <c r="B39" s="3"/>
      <c r="C39" s="3"/>
      <c r="D39" s="3"/>
      <c r="E39" s="3"/>
    </row>
    <row r="40" spans="1:6" x14ac:dyDescent="0.25">
      <c r="B40" s="238"/>
    </row>
  </sheetData>
  <mergeCells count="17">
    <mergeCell ref="A1:F1"/>
    <mergeCell ref="H1:I1"/>
    <mergeCell ref="A2:A3"/>
    <mergeCell ref="B2:B3"/>
    <mergeCell ref="C2:D2"/>
    <mergeCell ref="E2:E3"/>
    <mergeCell ref="F2:F3"/>
    <mergeCell ref="H2:H3"/>
    <mergeCell ref="I2:I3"/>
    <mergeCell ref="A31:D31"/>
    <mergeCell ref="A14:D14"/>
    <mergeCell ref="E14:E15"/>
    <mergeCell ref="G14:J14"/>
    <mergeCell ref="K14:K15"/>
    <mergeCell ref="A23:D23"/>
    <mergeCell ref="E23:E24"/>
    <mergeCell ref="A18:D18"/>
  </mergeCells>
  <pageMargins left="0.7" right="0.7" top="0.5" bottom="0" header="0.3" footer="0"/>
  <pageSetup paperSize="9" scale="85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opLeftCell="A3" zoomScaleNormal="100" workbookViewId="0">
      <selection activeCell="D28" sqref="D28"/>
    </sheetView>
  </sheetViews>
  <sheetFormatPr defaultRowHeight="15" x14ac:dyDescent="0.25"/>
  <cols>
    <col min="1" max="1" width="14.42578125" style="260" customWidth="1"/>
    <col min="2" max="4" width="12.140625" style="260" customWidth="1"/>
    <col min="5" max="5" width="16.140625" style="260" customWidth="1"/>
    <col min="6" max="6" width="27.42578125" style="260" customWidth="1"/>
    <col min="7" max="7" width="21.5703125" style="260" customWidth="1"/>
    <col min="8" max="9" width="14.5703125" style="260" customWidth="1"/>
    <col min="10" max="16384" width="9.140625" style="260"/>
  </cols>
  <sheetData>
    <row r="1" spans="1:11" ht="31.5" customHeight="1" x14ac:dyDescent="0.25">
      <c r="A1" s="754" t="s">
        <v>451</v>
      </c>
      <c r="B1" s="754"/>
      <c r="C1" s="754"/>
      <c r="D1" s="754"/>
      <c r="E1" s="754"/>
      <c r="F1" s="754"/>
      <c r="H1" s="745" t="s">
        <v>452</v>
      </c>
      <c r="I1" s="745"/>
    </row>
    <row r="2" spans="1:11" ht="19.5" customHeight="1" x14ac:dyDescent="0.25">
      <c r="A2" s="754" t="s">
        <v>7</v>
      </c>
      <c r="B2" s="754" t="s">
        <v>47</v>
      </c>
      <c r="C2" s="754" t="s">
        <v>199</v>
      </c>
      <c r="D2" s="754"/>
      <c r="E2" s="755" t="s">
        <v>32</v>
      </c>
      <c r="F2" s="754" t="s">
        <v>23</v>
      </c>
      <c r="H2" s="754" t="s">
        <v>7</v>
      </c>
      <c r="I2" s="754" t="s">
        <v>47</v>
      </c>
    </row>
    <row r="3" spans="1:11" ht="19.5" customHeight="1" x14ac:dyDescent="0.25">
      <c r="A3" s="754"/>
      <c r="B3" s="754"/>
      <c r="C3" s="416" t="s">
        <v>5</v>
      </c>
      <c r="D3" s="416" t="s">
        <v>152</v>
      </c>
      <c r="E3" s="756"/>
      <c r="F3" s="754"/>
      <c r="H3" s="754"/>
      <c r="I3" s="754"/>
    </row>
    <row r="4" spans="1:11" x14ac:dyDescent="0.25">
      <c r="A4" s="262" t="s">
        <v>11</v>
      </c>
      <c r="B4" s="264">
        <v>293000</v>
      </c>
      <c r="C4" s="264">
        <v>0</v>
      </c>
      <c r="D4" s="264">
        <v>248000</v>
      </c>
      <c r="E4" s="221">
        <f>+B4-(C4+D4)</f>
        <v>45000</v>
      </c>
      <c r="F4" s="235"/>
      <c r="H4" s="262" t="s">
        <v>11</v>
      </c>
      <c r="I4" s="264">
        <v>293000</v>
      </c>
    </row>
    <row r="5" spans="1:11" x14ac:dyDescent="0.25">
      <c r="A5" s="262" t="s">
        <v>17</v>
      </c>
      <c r="B5" s="262">
        <v>69722</v>
      </c>
      <c r="C5" s="262">
        <v>2000</v>
      </c>
      <c r="D5" s="262">
        <v>67722</v>
      </c>
      <c r="E5" s="221">
        <f t="shared" ref="E5:E11" si="0">+B5-(C5+D5)</f>
        <v>0</v>
      </c>
      <c r="F5" s="36"/>
      <c r="H5" s="262" t="s">
        <v>17</v>
      </c>
      <c r="I5" s="262">
        <v>66042</v>
      </c>
    </row>
    <row r="6" spans="1:11" x14ac:dyDescent="0.25">
      <c r="A6" s="262" t="s">
        <v>24</v>
      </c>
      <c r="B6" s="264">
        <v>80568</v>
      </c>
      <c r="C6" s="264">
        <v>70994</v>
      </c>
      <c r="D6" s="264">
        <v>9574</v>
      </c>
      <c r="E6" s="221">
        <f t="shared" si="0"/>
        <v>0</v>
      </c>
      <c r="F6" s="36"/>
      <c r="H6" s="262" t="s">
        <v>24</v>
      </c>
      <c r="I6" s="264">
        <v>80568</v>
      </c>
    </row>
    <row r="7" spans="1:11" x14ac:dyDescent="0.25">
      <c r="A7" s="262" t="s">
        <v>42</v>
      </c>
      <c r="B7" s="262">
        <v>632017</v>
      </c>
      <c r="C7" s="262">
        <v>468608</v>
      </c>
      <c r="D7" s="262"/>
      <c r="E7" s="221">
        <v>152931</v>
      </c>
      <c r="F7" s="37"/>
      <c r="H7" s="262" t="s">
        <v>42</v>
      </c>
      <c r="I7" s="262">
        <v>632017</v>
      </c>
    </row>
    <row r="8" spans="1:11" x14ac:dyDescent="0.25">
      <c r="A8" s="262" t="s">
        <v>29</v>
      </c>
      <c r="B8" s="262">
        <v>10979</v>
      </c>
      <c r="C8" s="262">
        <v>10979</v>
      </c>
      <c r="D8" s="262"/>
      <c r="E8" s="221">
        <f t="shared" si="0"/>
        <v>0</v>
      </c>
      <c r="F8" s="248"/>
      <c r="H8" s="262" t="s">
        <v>29</v>
      </c>
      <c r="I8" s="262">
        <v>10979</v>
      </c>
    </row>
    <row r="9" spans="1:11" x14ac:dyDescent="0.25">
      <c r="A9" s="262" t="s">
        <v>260</v>
      </c>
      <c r="B9" s="262">
        <v>49890</v>
      </c>
      <c r="C9" s="262"/>
      <c r="D9" s="262">
        <v>49890</v>
      </c>
      <c r="E9" s="221">
        <f t="shared" si="0"/>
        <v>0</v>
      </c>
      <c r="F9" s="251"/>
      <c r="H9" s="262" t="s">
        <v>260</v>
      </c>
      <c r="I9" s="262">
        <v>49890</v>
      </c>
    </row>
    <row r="10" spans="1:11" x14ac:dyDescent="0.25">
      <c r="A10" s="262" t="s">
        <v>230</v>
      </c>
      <c r="B10" s="262"/>
      <c r="C10" s="262"/>
      <c r="D10" s="262"/>
      <c r="E10" s="221">
        <f t="shared" si="0"/>
        <v>0</v>
      </c>
      <c r="F10" s="248"/>
      <c r="H10" s="262" t="s">
        <v>230</v>
      </c>
      <c r="I10" s="262"/>
    </row>
    <row r="11" spans="1:11" x14ac:dyDescent="0.25">
      <c r="A11" s="262" t="s">
        <v>332</v>
      </c>
      <c r="B11" s="262">
        <v>4860</v>
      </c>
      <c r="C11" s="262">
        <v>4860</v>
      </c>
      <c r="D11" s="262"/>
      <c r="E11" s="221">
        <f t="shared" si="0"/>
        <v>0</v>
      </c>
      <c r="F11" s="248"/>
      <c r="H11" s="262" t="s">
        <v>332</v>
      </c>
      <c r="I11" s="262">
        <v>4860</v>
      </c>
    </row>
    <row r="12" spans="1:11" x14ac:dyDescent="0.25">
      <c r="A12" s="416" t="s">
        <v>12</v>
      </c>
      <c r="B12" s="250">
        <f>SUM(B4:B11)</f>
        <v>1141036</v>
      </c>
      <c r="C12" s="250">
        <f>SUM(C4:C11)</f>
        <v>557441</v>
      </c>
      <c r="D12" s="250">
        <f>SUM(D4:D10)</f>
        <v>375186</v>
      </c>
      <c r="E12" s="162">
        <f>SUM(E4:E11)</f>
        <v>197931</v>
      </c>
      <c r="F12" s="253"/>
      <c r="H12" s="428" t="s">
        <v>12</v>
      </c>
      <c r="I12" s="250">
        <f>SUM(I4:I11)</f>
        <v>1137356</v>
      </c>
    </row>
    <row r="15" spans="1:11" x14ac:dyDescent="0.25">
      <c r="A15" s="752" t="s">
        <v>457</v>
      </c>
      <c r="B15" s="752"/>
      <c r="C15" s="752"/>
      <c r="D15" s="752"/>
      <c r="E15" s="759" t="s">
        <v>289</v>
      </c>
      <c r="G15" s="743"/>
      <c r="H15" s="743"/>
      <c r="I15" s="743"/>
      <c r="J15" s="743"/>
      <c r="K15" s="757"/>
    </row>
    <row r="16" spans="1:11" ht="13.5" customHeight="1" x14ac:dyDescent="0.25">
      <c r="A16" s="417" t="s">
        <v>168</v>
      </c>
      <c r="B16" s="417" t="s">
        <v>169</v>
      </c>
      <c r="C16" s="417" t="s">
        <v>172</v>
      </c>
      <c r="D16" s="417" t="s">
        <v>170</v>
      </c>
      <c r="E16" s="760"/>
      <c r="G16" s="427"/>
      <c r="H16" s="427"/>
      <c r="I16" s="427"/>
      <c r="J16" s="427"/>
      <c r="K16" s="757"/>
    </row>
    <row r="17" spans="1:11" ht="13.5" customHeight="1" x14ac:dyDescent="0.25">
      <c r="A17" s="259" t="s">
        <v>458</v>
      </c>
      <c r="B17" s="420">
        <v>20000</v>
      </c>
      <c r="C17" s="243">
        <v>42569</v>
      </c>
      <c r="D17" s="420"/>
      <c r="E17" s="421"/>
      <c r="G17" s="427"/>
      <c r="H17" s="427"/>
      <c r="I17" s="427"/>
      <c r="J17" s="427"/>
      <c r="K17" s="430"/>
    </row>
    <row r="18" spans="1:11" ht="13.5" customHeight="1" x14ac:dyDescent="0.25">
      <c r="A18" s="424" t="s">
        <v>459</v>
      </c>
      <c r="B18" s="276">
        <v>20000</v>
      </c>
      <c r="C18" s="243">
        <v>42569</v>
      </c>
      <c r="D18" s="276"/>
      <c r="E18" s="255"/>
      <c r="G18" s="322"/>
      <c r="H18" s="322"/>
      <c r="I18" s="324"/>
      <c r="J18" s="322"/>
      <c r="K18" s="316"/>
    </row>
    <row r="19" spans="1:11" ht="13.5" customHeight="1" x14ac:dyDescent="0.25">
      <c r="A19" s="424" t="s">
        <v>459</v>
      </c>
      <c r="B19" s="276">
        <v>17551</v>
      </c>
      <c r="C19" s="243">
        <v>42576</v>
      </c>
      <c r="D19" s="276"/>
      <c r="E19" s="255"/>
      <c r="G19" s="322"/>
      <c r="H19" s="322"/>
      <c r="I19" s="324"/>
      <c r="J19" s="322"/>
      <c r="K19" s="316"/>
    </row>
    <row r="20" spans="1:11" ht="13.5" customHeight="1" x14ac:dyDescent="0.25">
      <c r="A20" s="424" t="s">
        <v>459</v>
      </c>
      <c r="B20" s="276">
        <v>79680</v>
      </c>
      <c r="C20" s="243">
        <v>42582</v>
      </c>
      <c r="D20" s="276"/>
      <c r="E20" s="255" t="s">
        <v>471</v>
      </c>
      <c r="G20" s="322"/>
      <c r="H20" s="322"/>
      <c r="I20" s="324"/>
      <c r="J20" s="322"/>
      <c r="K20" s="316"/>
    </row>
    <row r="21" spans="1:11" ht="13.5" customHeight="1" x14ac:dyDescent="0.25">
      <c r="A21" s="424" t="s">
        <v>462</v>
      </c>
      <c r="B21" s="276">
        <v>15700</v>
      </c>
      <c r="C21" s="243">
        <v>42576</v>
      </c>
      <c r="D21" s="276"/>
      <c r="E21" s="255"/>
      <c r="G21" s="322"/>
      <c r="H21" s="322"/>
      <c r="I21" s="324"/>
      <c r="J21" s="322"/>
      <c r="K21" s="316"/>
    </row>
    <row r="22" spans="1:11" ht="13.5" customHeight="1" x14ac:dyDescent="0.25">
      <c r="A22" s="259" t="s">
        <v>468</v>
      </c>
      <c r="B22" s="276">
        <v>20000</v>
      </c>
      <c r="C22" s="243">
        <v>42569</v>
      </c>
      <c r="D22" s="276"/>
      <c r="E22" s="255" t="s">
        <v>469</v>
      </c>
      <c r="G22" s="322"/>
      <c r="H22" s="322"/>
      <c r="I22" s="324"/>
      <c r="J22" s="322"/>
      <c r="K22" s="316"/>
    </row>
    <row r="23" spans="1:11" ht="13.5" customHeight="1" x14ac:dyDescent="0.25">
      <c r="A23" s="259" t="s">
        <v>458</v>
      </c>
      <c r="B23" s="276">
        <v>20000</v>
      </c>
      <c r="C23" s="243">
        <v>42576</v>
      </c>
      <c r="D23" s="276"/>
      <c r="E23" s="255" t="s">
        <v>88</v>
      </c>
      <c r="G23" s="322"/>
      <c r="H23" s="322"/>
      <c r="I23" s="324"/>
      <c r="J23" s="322"/>
      <c r="K23" s="316"/>
    </row>
    <row r="24" spans="1:11" ht="13.5" customHeight="1" x14ac:dyDescent="0.25">
      <c r="A24" s="424"/>
      <c r="B24" s="276"/>
      <c r="C24" s="243"/>
      <c r="D24" s="276"/>
      <c r="E24" s="255"/>
      <c r="G24" s="322"/>
      <c r="H24" s="322"/>
      <c r="I24" s="324"/>
      <c r="J24" s="322"/>
      <c r="K24" s="316"/>
    </row>
    <row r="25" spans="1:11" ht="13.5" customHeight="1" x14ac:dyDescent="0.25">
      <c r="A25" s="424"/>
      <c r="B25" s="276"/>
      <c r="C25" s="243"/>
      <c r="D25" s="276"/>
      <c r="E25" s="255"/>
      <c r="G25" s="322"/>
      <c r="H25" s="322"/>
      <c r="I25" s="324"/>
      <c r="J25" s="322"/>
      <c r="K25" s="316"/>
    </row>
    <row r="26" spans="1:11" x14ac:dyDescent="0.25">
      <c r="A26" s="13" t="s">
        <v>12</v>
      </c>
      <c r="B26" s="13">
        <f>SUM(B17:B23)</f>
        <v>192931</v>
      </c>
      <c r="C26" s="288"/>
      <c r="D26" s="288"/>
      <c r="E26" s="279"/>
      <c r="G26" s="2"/>
      <c r="H26" s="6">
        <f>SUM(H18)</f>
        <v>0</v>
      </c>
      <c r="I26" s="2"/>
      <c r="J26" s="2"/>
      <c r="K26" s="3"/>
    </row>
    <row r="27" spans="1:11" x14ac:dyDescent="0.25">
      <c r="A27" s="743"/>
      <c r="B27" s="743"/>
      <c r="C27" s="743"/>
      <c r="D27" s="743"/>
    </row>
    <row r="28" spans="1:11" x14ac:dyDescent="0.25">
      <c r="A28" s="425"/>
      <c r="B28" s="425"/>
      <c r="C28" s="425"/>
      <c r="D28" s="425"/>
    </row>
    <row r="29" spans="1:11" x14ac:dyDescent="0.25">
      <c r="A29" s="752" t="s">
        <v>456</v>
      </c>
      <c r="B29" s="752"/>
      <c r="C29" s="752"/>
      <c r="D29" s="752"/>
      <c r="E29" s="759" t="s">
        <v>289</v>
      </c>
    </row>
    <row r="30" spans="1:11" x14ac:dyDescent="0.25">
      <c r="A30" s="420" t="s">
        <v>168</v>
      </c>
      <c r="B30" s="420" t="s">
        <v>169</v>
      </c>
      <c r="C30" s="420" t="s">
        <v>172</v>
      </c>
      <c r="D30" s="420" t="s">
        <v>170</v>
      </c>
      <c r="E30" s="760"/>
    </row>
    <row r="31" spans="1:11" x14ac:dyDescent="0.25">
      <c r="A31" s="276" t="s">
        <v>449</v>
      </c>
      <c r="B31" s="276">
        <v>45000</v>
      </c>
      <c r="C31" s="242">
        <v>42554</v>
      </c>
      <c r="D31" s="276"/>
      <c r="E31" s="255" t="s">
        <v>450</v>
      </c>
    </row>
    <row r="32" spans="1:11" x14ac:dyDescent="0.25">
      <c r="A32" s="276" t="s">
        <v>392</v>
      </c>
      <c r="B32" s="276">
        <v>9000</v>
      </c>
      <c r="C32" s="242">
        <v>42571</v>
      </c>
      <c r="D32" s="276"/>
      <c r="E32" s="255"/>
    </row>
    <row r="33" spans="1:6" ht="17.25" customHeight="1" x14ac:dyDescent="0.25">
      <c r="A33" s="276" t="s">
        <v>460</v>
      </c>
      <c r="B33" s="276">
        <v>10000</v>
      </c>
      <c r="C33" s="242">
        <v>42571</v>
      </c>
      <c r="D33" s="276"/>
      <c r="E33" s="255" t="s">
        <v>466</v>
      </c>
    </row>
    <row r="34" spans="1:6" ht="17.25" customHeight="1" x14ac:dyDescent="0.25">
      <c r="A34" s="276" t="s">
        <v>467</v>
      </c>
      <c r="B34" s="276">
        <v>10000</v>
      </c>
      <c r="C34" s="242">
        <v>42579</v>
      </c>
      <c r="D34" s="276"/>
      <c r="E34" s="255" t="s">
        <v>466</v>
      </c>
    </row>
    <row r="35" spans="1:6" ht="17.25" customHeight="1" x14ac:dyDescent="0.25">
      <c r="A35" s="276" t="s">
        <v>358</v>
      </c>
      <c r="B35" s="276">
        <v>21500</v>
      </c>
      <c r="C35" s="242">
        <v>42579</v>
      </c>
      <c r="D35" s="276"/>
      <c r="E35" s="255"/>
    </row>
    <row r="36" spans="1:6" ht="17.25" customHeight="1" x14ac:dyDescent="0.25">
      <c r="A36" s="276"/>
      <c r="B36" s="276"/>
      <c r="C36" s="242"/>
      <c r="D36" s="276"/>
      <c r="E36" s="255"/>
    </row>
    <row r="37" spans="1:6" ht="23.25" customHeight="1" x14ac:dyDescent="0.25">
      <c r="A37" s="288" t="s">
        <v>12</v>
      </c>
      <c r="B37" s="13">
        <f>SUM(B31:B36)</f>
        <v>95500</v>
      </c>
      <c r="C37" s="288"/>
      <c r="D37" s="288"/>
      <c r="E37" s="279"/>
      <c r="F37" s="312"/>
    </row>
    <row r="38" spans="1:6" ht="19.5" customHeight="1" x14ac:dyDescent="0.25">
      <c r="A38" s="418"/>
      <c r="B38" s="418"/>
      <c r="C38" s="418"/>
      <c r="D38" s="418"/>
      <c r="E38" s="313"/>
      <c r="F38" s="314"/>
    </row>
    <row r="39" spans="1:6" ht="19.5" customHeight="1" x14ac:dyDescent="0.25">
      <c r="A39" s="322"/>
      <c r="B39" s="303"/>
      <c r="C39" s="304"/>
      <c r="D39" s="316"/>
      <c r="E39" s="313"/>
      <c r="F39" s="314"/>
    </row>
    <row r="40" spans="1:6" x14ac:dyDescent="0.25">
      <c r="A40" s="758"/>
      <c r="B40" s="758"/>
      <c r="C40" s="758"/>
      <c r="D40" s="758"/>
      <c r="E40" s="320"/>
      <c r="F40" s="3"/>
    </row>
    <row r="41" spans="1:6" x14ac:dyDescent="0.25">
      <c r="A41" s="431"/>
      <c r="B41" s="431"/>
      <c r="C41" s="431"/>
      <c r="D41" s="431"/>
      <c r="E41" s="55"/>
      <c r="F41" s="3"/>
    </row>
    <row r="42" spans="1:6" x14ac:dyDescent="0.25">
      <c r="A42" s="322"/>
      <c r="B42" s="303"/>
      <c r="C42" s="304"/>
      <c r="D42" s="316"/>
      <c r="E42" s="79"/>
      <c r="F42" s="3"/>
    </row>
    <row r="43" spans="1:6" x14ac:dyDescent="0.25">
      <c r="A43" s="322"/>
      <c r="B43" s="303"/>
      <c r="C43" s="304"/>
      <c r="D43" s="316"/>
      <c r="E43" s="3"/>
    </row>
    <row r="44" spans="1:6" x14ac:dyDescent="0.25">
      <c r="A44" s="322"/>
      <c r="B44" s="303"/>
      <c r="C44" s="304"/>
      <c r="D44" s="316"/>
      <c r="E44" s="3"/>
    </row>
    <row r="45" spans="1:6" x14ac:dyDescent="0.25">
      <c r="A45" s="322"/>
      <c r="B45" s="303"/>
      <c r="C45" s="304"/>
      <c r="D45" s="316"/>
      <c r="E45" s="3"/>
    </row>
    <row r="46" spans="1:6" x14ac:dyDescent="0.25">
      <c r="A46" s="322"/>
      <c r="B46" s="303"/>
      <c r="C46" s="304"/>
      <c r="D46" s="303"/>
      <c r="E46" s="3"/>
    </row>
    <row r="47" spans="1:6" x14ac:dyDescent="0.25">
      <c r="A47" s="303"/>
      <c r="B47" s="372"/>
      <c r="C47" s="304"/>
      <c r="D47" s="303"/>
      <c r="E47" s="3"/>
    </row>
    <row r="48" spans="1:6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17">
    <mergeCell ref="A1:F1"/>
    <mergeCell ref="H1:I1"/>
    <mergeCell ref="A2:A3"/>
    <mergeCell ref="B2:B3"/>
    <mergeCell ref="C2:D2"/>
    <mergeCell ref="E2:E3"/>
    <mergeCell ref="F2:F3"/>
    <mergeCell ref="H2:H3"/>
    <mergeCell ref="I2:I3"/>
    <mergeCell ref="A27:D27"/>
    <mergeCell ref="K15:K16"/>
    <mergeCell ref="A29:D29"/>
    <mergeCell ref="E29:E30"/>
    <mergeCell ref="A40:D40"/>
    <mergeCell ref="A15:D15"/>
    <mergeCell ref="E15:E16"/>
    <mergeCell ref="G15:J15"/>
  </mergeCells>
  <pageMargins left="0.7" right="0.7" top="0.5" bottom="0" header="0.3" footer="0"/>
  <pageSetup paperSize="9" scale="80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topLeftCell="A16" zoomScaleNormal="100" workbookViewId="0">
      <selection activeCell="A28" sqref="A28"/>
    </sheetView>
  </sheetViews>
  <sheetFormatPr defaultRowHeight="15" x14ac:dyDescent="0.25"/>
  <cols>
    <col min="1" max="1" width="14.42578125" style="260" customWidth="1"/>
    <col min="2" max="4" width="12.140625" style="260" customWidth="1"/>
    <col min="5" max="5" width="16.140625" style="260" customWidth="1"/>
    <col min="6" max="6" width="27.42578125" style="260" customWidth="1"/>
    <col min="7" max="7" width="21.5703125" style="260" customWidth="1"/>
    <col min="8" max="9" width="14.5703125" style="260" customWidth="1"/>
    <col min="10" max="16384" width="9.140625" style="260"/>
  </cols>
  <sheetData>
    <row r="1" spans="1:10" ht="31.5" customHeight="1" x14ac:dyDescent="0.25">
      <c r="A1" s="754" t="s">
        <v>445</v>
      </c>
      <c r="B1" s="754"/>
      <c r="C1" s="754"/>
      <c r="D1" s="754"/>
      <c r="E1" s="754"/>
      <c r="F1" s="754"/>
      <c r="H1" s="745" t="s">
        <v>446</v>
      </c>
      <c r="I1" s="745"/>
    </row>
    <row r="2" spans="1:10" ht="19.5" customHeight="1" x14ac:dyDescent="0.25">
      <c r="A2" s="754" t="s">
        <v>7</v>
      </c>
      <c r="B2" s="754" t="s">
        <v>47</v>
      </c>
      <c r="C2" s="754" t="s">
        <v>199</v>
      </c>
      <c r="D2" s="754"/>
      <c r="E2" s="755" t="s">
        <v>32</v>
      </c>
      <c r="F2" s="754" t="s">
        <v>23</v>
      </c>
      <c r="H2" s="754" t="s">
        <v>7</v>
      </c>
      <c r="I2" s="754" t="s">
        <v>47</v>
      </c>
    </row>
    <row r="3" spans="1:10" ht="19.5" customHeight="1" x14ac:dyDescent="0.25">
      <c r="A3" s="754"/>
      <c r="B3" s="754"/>
      <c r="C3" s="409" t="s">
        <v>5</v>
      </c>
      <c r="D3" s="409" t="s">
        <v>152</v>
      </c>
      <c r="E3" s="756"/>
      <c r="F3" s="754"/>
      <c r="H3" s="754"/>
      <c r="I3" s="754"/>
    </row>
    <row r="4" spans="1:10" x14ac:dyDescent="0.25">
      <c r="A4" s="262" t="s">
        <v>11</v>
      </c>
      <c r="B4" s="264">
        <v>783063</v>
      </c>
      <c r="C4" s="264">
        <v>54100</v>
      </c>
      <c r="D4" s="264">
        <v>296028</v>
      </c>
      <c r="E4" s="221">
        <f>+B4-(C4+D4)</f>
        <v>432935</v>
      </c>
      <c r="F4" s="235"/>
      <c r="H4" s="262" t="s">
        <v>11</v>
      </c>
      <c r="I4" s="264">
        <v>783063</v>
      </c>
    </row>
    <row r="5" spans="1:10" x14ac:dyDescent="0.25">
      <c r="A5" s="262" t="s">
        <v>17</v>
      </c>
      <c r="B5" s="262">
        <v>105746</v>
      </c>
      <c r="C5" s="262">
        <v>79935</v>
      </c>
      <c r="D5" s="262">
        <v>25811</v>
      </c>
      <c r="E5" s="221">
        <f t="shared" ref="E5:E11" si="0">+B5-(C5+D5)</f>
        <v>0</v>
      </c>
      <c r="F5" s="36"/>
      <c r="H5" s="262" t="s">
        <v>17</v>
      </c>
      <c r="I5" s="262">
        <v>105746</v>
      </c>
    </row>
    <row r="6" spans="1:10" x14ac:dyDescent="0.25">
      <c r="A6" s="262" t="s">
        <v>24</v>
      </c>
      <c r="B6" s="264">
        <v>158457</v>
      </c>
      <c r="C6" s="264">
        <v>89111</v>
      </c>
      <c r="D6" s="264">
        <v>69346</v>
      </c>
      <c r="E6" s="221">
        <f t="shared" si="0"/>
        <v>0</v>
      </c>
      <c r="F6" s="36"/>
      <c r="H6" s="262" t="s">
        <v>24</v>
      </c>
      <c r="I6" s="264">
        <v>158457</v>
      </c>
    </row>
    <row r="7" spans="1:10" x14ac:dyDescent="0.25">
      <c r="A7" s="262" t="s">
        <v>42</v>
      </c>
      <c r="B7" s="262">
        <v>478952</v>
      </c>
      <c r="C7" s="262">
        <v>478952</v>
      </c>
      <c r="D7" s="262"/>
      <c r="E7" s="221">
        <f t="shared" si="0"/>
        <v>0</v>
      </c>
      <c r="F7" s="37"/>
      <c r="H7" s="262" t="s">
        <v>42</v>
      </c>
      <c r="I7" s="262">
        <v>478952</v>
      </c>
    </row>
    <row r="8" spans="1:10" x14ac:dyDescent="0.25">
      <c r="A8" s="262" t="s">
        <v>29</v>
      </c>
      <c r="B8" s="262">
        <v>19210</v>
      </c>
      <c r="C8" s="262">
        <v>19210</v>
      </c>
      <c r="D8" s="262"/>
      <c r="E8" s="221">
        <f t="shared" si="0"/>
        <v>0</v>
      </c>
      <c r="F8" s="248"/>
      <c r="H8" s="262" t="s">
        <v>29</v>
      </c>
      <c r="I8" s="262"/>
    </row>
    <row r="9" spans="1:10" x14ac:dyDescent="0.25">
      <c r="A9" s="262" t="s">
        <v>260</v>
      </c>
      <c r="B9" s="262">
        <v>49760</v>
      </c>
      <c r="C9" s="262"/>
      <c r="D9" s="262">
        <v>49760</v>
      </c>
      <c r="E9" s="221">
        <f t="shared" si="0"/>
        <v>0</v>
      </c>
      <c r="F9" s="251"/>
      <c r="H9" s="262" t="s">
        <v>260</v>
      </c>
      <c r="I9" s="262">
        <v>49760</v>
      </c>
    </row>
    <row r="10" spans="1:10" x14ac:dyDescent="0.25">
      <c r="A10" s="262" t="s">
        <v>230</v>
      </c>
      <c r="B10" s="262"/>
      <c r="C10" s="262"/>
      <c r="D10" s="262"/>
      <c r="E10" s="221">
        <f t="shared" si="0"/>
        <v>0</v>
      </c>
      <c r="F10" s="248"/>
      <c r="H10" s="262" t="s">
        <v>230</v>
      </c>
      <c r="I10" s="262"/>
    </row>
    <row r="11" spans="1:10" x14ac:dyDescent="0.25">
      <c r="A11" s="262" t="s">
        <v>332</v>
      </c>
      <c r="B11" s="262">
        <v>3242</v>
      </c>
      <c r="C11" s="262">
        <v>3242</v>
      </c>
      <c r="D11" s="262"/>
      <c r="E11" s="221">
        <f t="shared" si="0"/>
        <v>0</v>
      </c>
      <c r="F11" s="248"/>
      <c r="H11" s="262" t="s">
        <v>332</v>
      </c>
      <c r="I11" s="262">
        <v>3242</v>
      </c>
    </row>
    <row r="12" spans="1:10" x14ac:dyDescent="0.25">
      <c r="A12" s="409" t="s">
        <v>12</v>
      </c>
      <c r="B12" s="250">
        <f>SUM(B4:B11)</f>
        <v>1598430</v>
      </c>
      <c r="C12" s="250">
        <f>SUM(C4:C11)</f>
        <v>724550</v>
      </c>
      <c r="D12" s="250">
        <f>SUM(D4:D10)</f>
        <v>440945</v>
      </c>
      <c r="E12" s="162">
        <f>SUM(E4:E11)</f>
        <v>432935</v>
      </c>
      <c r="F12" s="253"/>
      <c r="H12" s="414" t="s">
        <v>12</v>
      </c>
      <c r="I12" s="250">
        <f>SUM(I4:I11)</f>
        <v>1579220</v>
      </c>
    </row>
    <row r="15" spans="1:10" x14ac:dyDescent="0.25">
      <c r="A15" s="752" t="s">
        <v>198</v>
      </c>
      <c r="B15" s="752"/>
      <c r="C15" s="752"/>
      <c r="D15" s="752"/>
      <c r="E15" s="759" t="s">
        <v>289</v>
      </c>
      <c r="G15" s="758"/>
      <c r="H15" s="758"/>
      <c r="I15" s="758"/>
      <c r="J15" s="758"/>
    </row>
    <row r="16" spans="1:10" ht="13.5" customHeight="1" x14ac:dyDescent="0.25">
      <c r="A16" s="410" t="s">
        <v>168</v>
      </c>
      <c r="B16" s="410" t="s">
        <v>169</v>
      </c>
      <c r="C16" s="410" t="s">
        <v>172</v>
      </c>
      <c r="D16" s="410" t="s">
        <v>170</v>
      </c>
      <c r="E16" s="760"/>
      <c r="G16" s="411"/>
      <c r="H16" s="411"/>
      <c r="I16" s="411"/>
      <c r="J16" s="411"/>
    </row>
    <row r="17" spans="1:10" ht="13.5" customHeight="1" x14ac:dyDescent="0.25">
      <c r="A17" s="276" t="s">
        <v>433</v>
      </c>
      <c r="B17" s="276">
        <v>33971</v>
      </c>
      <c r="C17" s="242">
        <v>42529</v>
      </c>
      <c r="D17" s="276"/>
      <c r="E17" s="255"/>
      <c r="G17" s="322"/>
      <c r="H17" s="303"/>
      <c r="I17" s="304"/>
      <c r="J17" s="316"/>
    </row>
    <row r="18" spans="1:10" s="261" customFormat="1" ht="13.5" customHeight="1" x14ac:dyDescent="0.25">
      <c r="A18" s="276" t="s">
        <v>434</v>
      </c>
      <c r="B18" s="276">
        <v>25192</v>
      </c>
      <c r="C18" s="242">
        <v>42535</v>
      </c>
      <c r="D18" s="276"/>
      <c r="E18" s="255"/>
      <c r="G18" s="322"/>
      <c r="H18" s="303"/>
      <c r="I18" s="304"/>
      <c r="J18" s="316"/>
    </row>
    <row r="19" spans="1:10" x14ac:dyDescent="0.25">
      <c r="A19" s="276" t="s">
        <v>426</v>
      </c>
      <c r="B19" s="276">
        <v>8000</v>
      </c>
      <c r="C19" s="242">
        <v>42527</v>
      </c>
      <c r="E19" s="13"/>
      <c r="G19" s="322"/>
      <c r="H19" s="303"/>
      <c r="I19" s="304"/>
      <c r="J19" s="316"/>
    </row>
    <row r="20" spans="1:10" x14ac:dyDescent="0.25">
      <c r="A20" s="276" t="s">
        <v>368</v>
      </c>
      <c r="B20" s="276">
        <v>10000</v>
      </c>
      <c r="C20" s="242">
        <v>42527</v>
      </c>
      <c r="D20" s="276"/>
      <c r="E20" s="13"/>
      <c r="G20" s="322"/>
      <c r="H20" s="303"/>
      <c r="I20" s="304"/>
      <c r="J20" s="316"/>
    </row>
    <row r="21" spans="1:10" x14ac:dyDescent="0.25">
      <c r="A21" s="276" t="s">
        <v>435</v>
      </c>
      <c r="B21" s="276">
        <v>300</v>
      </c>
      <c r="C21" s="242">
        <v>42535</v>
      </c>
      <c r="D21" s="276"/>
      <c r="E21" s="255"/>
      <c r="G21" s="303"/>
      <c r="H21" s="372"/>
      <c r="I21" s="304"/>
      <c r="J21" s="303"/>
    </row>
    <row r="22" spans="1:10" x14ac:dyDescent="0.25">
      <c r="A22" s="276" t="s">
        <v>436</v>
      </c>
      <c r="B22" s="276">
        <v>25300</v>
      </c>
      <c r="C22" s="242">
        <v>42548</v>
      </c>
      <c r="D22" s="276"/>
      <c r="E22" s="255"/>
    </row>
    <row r="23" spans="1:10" x14ac:dyDescent="0.25">
      <c r="A23" s="385" t="s">
        <v>444</v>
      </c>
      <c r="B23" s="385">
        <v>16000</v>
      </c>
      <c r="C23" s="386">
        <v>42548</v>
      </c>
      <c r="D23" s="385"/>
      <c r="E23" s="419" t="s">
        <v>447</v>
      </c>
    </row>
    <row r="24" spans="1:10" x14ac:dyDescent="0.25">
      <c r="A24" s="276" t="s">
        <v>119</v>
      </c>
      <c r="B24" s="276">
        <v>26500</v>
      </c>
      <c r="C24" s="242">
        <v>42522</v>
      </c>
      <c r="D24" s="276"/>
      <c r="E24" s="255"/>
    </row>
    <row r="25" spans="1:10" ht="14.25" customHeight="1" x14ac:dyDescent="0.25">
      <c r="A25" s="276" t="s">
        <v>119</v>
      </c>
      <c r="B25" s="276">
        <v>20500</v>
      </c>
      <c r="C25" s="242">
        <v>42526</v>
      </c>
      <c r="D25" s="276"/>
      <c r="E25" s="255"/>
      <c r="G25" s="758"/>
      <c r="H25" s="758"/>
      <c r="I25" s="758"/>
      <c r="J25" s="758"/>
    </row>
    <row r="26" spans="1:10" x14ac:dyDescent="0.25">
      <c r="A26" s="276" t="s">
        <v>364</v>
      </c>
      <c r="B26" s="276">
        <v>36500</v>
      </c>
      <c r="C26" s="242">
        <v>42533</v>
      </c>
      <c r="D26" s="276"/>
      <c r="E26" s="13"/>
      <c r="G26" s="322"/>
      <c r="H26" s="303"/>
      <c r="I26" s="304"/>
      <c r="J26" s="316"/>
    </row>
    <row r="27" spans="1:10" x14ac:dyDescent="0.25">
      <c r="A27" s="276" t="s">
        <v>119</v>
      </c>
      <c r="B27" s="276">
        <v>18000</v>
      </c>
      <c r="C27" s="242">
        <v>42533</v>
      </c>
      <c r="D27" s="276"/>
      <c r="E27" s="13"/>
      <c r="G27" s="322"/>
      <c r="H27" s="303"/>
      <c r="I27" s="304"/>
      <c r="J27" s="316"/>
    </row>
    <row r="28" spans="1:10" x14ac:dyDescent="0.25">
      <c r="A28" s="385" t="s">
        <v>430</v>
      </c>
      <c r="B28" s="385">
        <v>8000</v>
      </c>
      <c r="C28" s="386">
        <v>42526</v>
      </c>
      <c r="D28" s="276"/>
      <c r="E28" s="255" t="s">
        <v>447</v>
      </c>
      <c r="G28" s="322"/>
      <c r="H28" s="303"/>
      <c r="I28" s="304"/>
      <c r="J28" s="316"/>
    </row>
    <row r="29" spans="1:10" x14ac:dyDescent="0.25">
      <c r="A29" s="276" t="s">
        <v>437</v>
      </c>
      <c r="B29" s="276">
        <v>80000</v>
      </c>
      <c r="C29" s="242">
        <v>42536</v>
      </c>
      <c r="D29" s="276" t="s">
        <v>438</v>
      </c>
      <c r="E29" s="255"/>
      <c r="G29" s="322"/>
      <c r="H29" s="303"/>
      <c r="I29" s="304"/>
      <c r="J29" s="316"/>
    </row>
    <row r="30" spans="1:10" x14ac:dyDescent="0.25">
      <c r="A30" s="276" t="s">
        <v>439</v>
      </c>
      <c r="B30" s="276">
        <v>10364</v>
      </c>
      <c r="C30" s="242">
        <v>42541</v>
      </c>
      <c r="D30" s="276"/>
      <c r="E30" s="255"/>
      <c r="G30" s="3"/>
      <c r="H30" s="3"/>
      <c r="I30" s="3"/>
      <c r="J30" s="3"/>
    </row>
    <row r="31" spans="1:10" x14ac:dyDescent="0.25">
      <c r="A31" s="385" t="s">
        <v>440</v>
      </c>
      <c r="B31" s="385">
        <v>12800</v>
      </c>
      <c r="C31" s="386">
        <v>42541</v>
      </c>
      <c r="D31" s="276"/>
      <c r="E31" s="255" t="s">
        <v>455</v>
      </c>
      <c r="G31" s="411"/>
      <c r="H31" s="411"/>
      <c r="I31" s="411"/>
      <c r="J31" s="411"/>
    </row>
    <row r="32" spans="1:10" x14ac:dyDescent="0.25">
      <c r="A32" s="391" t="s">
        <v>441</v>
      </c>
      <c r="B32" s="391">
        <v>36000</v>
      </c>
      <c r="C32" s="392">
        <v>42542</v>
      </c>
      <c r="D32" s="276"/>
      <c r="E32" s="255"/>
      <c r="G32" s="411"/>
      <c r="H32" s="411"/>
      <c r="I32" s="411"/>
      <c r="J32" s="411"/>
    </row>
    <row r="33" spans="1:10" x14ac:dyDescent="0.25">
      <c r="A33" s="276" t="s">
        <v>454</v>
      </c>
      <c r="B33" s="276">
        <v>16000</v>
      </c>
      <c r="C33" s="242">
        <v>42550</v>
      </c>
      <c r="D33" s="276"/>
      <c r="E33" s="255"/>
      <c r="G33" s="422"/>
      <c r="H33" s="422"/>
      <c r="I33" s="422"/>
      <c r="J33" s="422"/>
    </row>
    <row r="34" spans="1:10" x14ac:dyDescent="0.25">
      <c r="A34" s="276" t="s">
        <v>206</v>
      </c>
      <c r="B34" s="276">
        <v>28000</v>
      </c>
      <c r="C34" s="242">
        <v>42549</v>
      </c>
      <c r="D34" s="276"/>
      <c r="E34" s="255"/>
      <c r="G34" s="322"/>
      <c r="H34" s="303"/>
      <c r="I34" s="304"/>
      <c r="J34" s="316"/>
    </row>
    <row r="35" spans="1:10" x14ac:dyDescent="0.25">
      <c r="A35" s="276" t="s">
        <v>442</v>
      </c>
      <c r="B35" s="276">
        <v>3500</v>
      </c>
      <c r="C35" s="242">
        <v>42522</v>
      </c>
      <c r="D35" s="276"/>
      <c r="E35" s="255"/>
      <c r="G35" s="411"/>
      <c r="H35" s="411"/>
      <c r="I35" s="411"/>
      <c r="J35" s="411"/>
    </row>
    <row r="36" spans="1:10" x14ac:dyDescent="0.25">
      <c r="A36" s="276" t="s">
        <v>443</v>
      </c>
      <c r="B36" s="276">
        <v>15000</v>
      </c>
      <c r="C36" s="242">
        <v>42535</v>
      </c>
      <c r="D36" s="276"/>
      <c r="E36" s="255"/>
      <c r="G36" s="415"/>
      <c r="H36" s="415"/>
      <c r="I36" s="415"/>
      <c r="J36" s="415"/>
    </row>
    <row r="37" spans="1:10" x14ac:dyDescent="0.25">
      <c r="A37" s="276" t="s">
        <v>392</v>
      </c>
      <c r="B37" s="276">
        <v>17500</v>
      </c>
      <c r="C37" s="242">
        <v>42541</v>
      </c>
      <c r="D37" s="276"/>
      <c r="E37" s="255"/>
      <c r="G37" s="411"/>
      <c r="H37" s="411"/>
      <c r="I37" s="411"/>
      <c r="J37" s="411"/>
    </row>
    <row r="38" spans="1:10" x14ac:dyDescent="0.25">
      <c r="A38" s="276" t="s">
        <v>460</v>
      </c>
      <c r="B38" s="276">
        <v>16500</v>
      </c>
      <c r="C38" s="242">
        <v>42541</v>
      </c>
      <c r="D38" s="276" t="s">
        <v>461</v>
      </c>
      <c r="E38" s="255"/>
      <c r="G38" s="423"/>
      <c r="H38" s="423"/>
      <c r="I38" s="423"/>
      <c r="J38" s="423"/>
    </row>
    <row r="39" spans="1:10" x14ac:dyDescent="0.25">
      <c r="A39" s="276" t="s">
        <v>442</v>
      </c>
      <c r="B39" s="276">
        <v>1500</v>
      </c>
      <c r="C39" s="242">
        <v>42548</v>
      </c>
      <c r="D39" s="276"/>
      <c r="E39" s="255"/>
      <c r="G39" s="322"/>
      <c r="H39" s="303"/>
      <c r="I39" s="304"/>
      <c r="J39" s="316"/>
    </row>
    <row r="40" spans="1:10" x14ac:dyDescent="0.25">
      <c r="A40" s="410" t="s">
        <v>171</v>
      </c>
      <c r="B40" s="410">
        <f>SUM(B17:B39)</f>
        <v>465427</v>
      </c>
      <c r="C40" s="276"/>
      <c r="D40" s="276"/>
      <c r="E40" s="279"/>
    </row>
    <row r="41" spans="1:10" x14ac:dyDescent="0.25">
      <c r="A41" s="261"/>
      <c r="B41" s="261"/>
      <c r="C41" s="261"/>
      <c r="D41" s="261"/>
    </row>
    <row r="42" spans="1:10" x14ac:dyDescent="0.25">
      <c r="A42" s="743"/>
      <c r="B42" s="743"/>
      <c r="C42" s="743"/>
      <c r="D42" s="743"/>
    </row>
    <row r="43" spans="1:10" x14ac:dyDescent="0.25">
      <c r="A43" s="412"/>
      <c r="B43" s="412"/>
      <c r="C43" s="412"/>
      <c r="D43" s="412"/>
    </row>
    <row r="44" spans="1:10" x14ac:dyDescent="0.25">
      <c r="A44" s="322"/>
      <c r="B44" s="322"/>
      <c r="C44" s="324"/>
      <c r="D44" s="6"/>
    </row>
    <row r="45" spans="1:10" x14ac:dyDescent="0.25">
      <c r="A45" s="322"/>
      <c r="B45" s="322"/>
      <c r="C45" s="324"/>
      <c r="D45" s="6"/>
    </row>
    <row r="46" spans="1:10" ht="23.25" customHeight="1" x14ac:dyDescent="0.25">
      <c r="A46" s="322"/>
      <c r="B46" s="322"/>
      <c r="C46" s="324"/>
      <c r="D46" s="6"/>
      <c r="E46" s="312"/>
      <c r="F46" s="312"/>
    </row>
    <row r="47" spans="1:10" ht="19.5" customHeight="1" x14ac:dyDescent="0.25">
      <c r="A47" s="411"/>
      <c r="B47" s="411"/>
      <c r="C47" s="411"/>
      <c r="D47" s="411"/>
      <c r="E47" s="313"/>
      <c r="F47" s="314"/>
    </row>
    <row r="48" spans="1:10" ht="19.5" customHeight="1" x14ac:dyDescent="0.25">
      <c r="A48" s="322"/>
      <c r="B48" s="303"/>
      <c r="C48" s="304"/>
      <c r="D48" s="316"/>
      <c r="E48" s="313"/>
      <c r="F48" s="314"/>
    </row>
    <row r="49" spans="1:6" x14ac:dyDescent="0.25">
      <c r="A49" s="761"/>
      <c r="B49" s="762"/>
      <c r="C49" s="762"/>
      <c r="D49" s="763"/>
      <c r="E49" s="320"/>
      <c r="F49" s="3"/>
    </row>
    <row r="50" spans="1:6" x14ac:dyDescent="0.25">
      <c r="A50" s="413"/>
      <c r="B50" s="413"/>
      <c r="C50" s="413"/>
      <c r="D50" s="413"/>
      <c r="E50" s="55"/>
      <c r="F50" s="3"/>
    </row>
    <row r="51" spans="1:6" x14ac:dyDescent="0.25">
      <c r="A51" s="276"/>
      <c r="B51" s="274"/>
      <c r="C51" s="275"/>
      <c r="D51" s="255"/>
      <c r="E51" s="79"/>
      <c r="F51" s="3"/>
    </row>
    <row r="52" spans="1:6" x14ac:dyDescent="0.25">
      <c r="A52" s="276"/>
      <c r="B52" s="274"/>
      <c r="C52" s="275"/>
      <c r="D52" s="255"/>
    </row>
    <row r="53" spans="1:6" x14ac:dyDescent="0.25">
      <c r="A53" s="276"/>
      <c r="B53" s="274"/>
      <c r="C53" s="275"/>
      <c r="D53" s="255"/>
    </row>
    <row r="54" spans="1:6" x14ac:dyDescent="0.25">
      <c r="A54" s="276"/>
      <c r="B54" s="274"/>
      <c r="C54" s="275"/>
      <c r="D54" s="255"/>
    </row>
    <row r="55" spans="1:6" x14ac:dyDescent="0.25">
      <c r="A55" s="276"/>
      <c r="B55" s="274"/>
      <c r="C55" s="275"/>
      <c r="D55" s="274"/>
    </row>
    <row r="56" spans="1:6" x14ac:dyDescent="0.25">
      <c r="A56" s="274"/>
      <c r="B56" s="321"/>
      <c r="C56" s="275"/>
      <c r="D56" s="274"/>
    </row>
    <row r="57" spans="1:6" x14ac:dyDescent="0.25">
      <c r="B57" s="3"/>
    </row>
    <row r="58" spans="1:6" x14ac:dyDescent="0.25">
      <c r="B58" s="238"/>
    </row>
  </sheetData>
  <mergeCells count="15">
    <mergeCell ref="A49:D49"/>
    <mergeCell ref="A1:F1"/>
    <mergeCell ref="H1:I1"/>
    <mergeCell ref="A2:A3"/>
    <mergeCell ref="B2:B3"/>
    <mergeCell ref="C2:D2"/>
    <mergeCell ref="E2:E3"/>
    <mergeCell ref="F2:F3"/>
    <mergeCell ref="H2:H3"/>
    <mergeCell ref="I2:I3"/>
    <mergeCell ref="A15:D15"/>
    <mergeCell ref="E15:E16"/>
    <mergeCell ref="G15:J15"/>
    <mergeCell ref="G25:J25"/>
    <mergeCell ref="A42:D42"/>
  </mergeCells>
  <pageMargins left="0.7" right="0.7" top="0.5" bottom="0" header="0.3" footer="0"/>
  <pageSetup paperSize="9" scale="80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topLeftCell="A2" zoomScaleNormal="100" workbookViewId="0">
      <selection activeCell="C2" sqref="C2:D2"/>
    </sheetView>
  </sheetViews>
  <sheetFormatPr defaultRowHeight="15" x14ac:dyDescent="0.25"/>
  <cols>
    <col min="1" max="1" width="14.42578125" style="260" customWidth="1"/>
    <col min="2" max="4" width="12.140625" style="260" customWidth="1"/>
    <col min="5" max="5" width="16.140625" style="260" customWidth="1"/>
    <col min="6" max="6" width="27.42578125" style="260" customWidth="1"/>
    <col min="7" max="7" width="21.5703125" style="260" customWidth="1"/>
    <col min="8" max="9" width="14.5703125" style="260" customWidth="1"/>
    <col min="10" max="16384" width="9.140625" style="260"/>
  </cols>
  <sheetData>
    <row r="1" spans="1:10" ht="31.5" customHeight="1" x14ac:dyDescent="0.25">
      <c r="A1" s="754" t="s">
        <v>410</v>
      </c>
      <c r="B1" s="754"/>
      <c r="C1" s="754"/>
      <c r="D1" s="754"/>
      <c r="E1" s="754"/>
      <c r="F1" s="754"/>
      <c r="H1" s="745" t="s">
        <v>411</v>
      </c>
      <c r="I1" s="745"/>
    </row>
    <row r="2" spans="1:10" ht="19.5" customHeight="1" x14ac:dyDescent="0.25">
      <c r="A2" s="754" t="s">
        <v>7</v>
      </c>
      <c r="B2" s="754" t="s">
        <v>47</v>
      </c>
      <c r="C2" s="754" t="s">
        <v>199</v>
      </c>
      <c r="D2" s="754"/>
      <c r="E2" s="755" t="s">
        <v>32</v>
      </c>
      <c r="F2" s="754" t="s">
        <v>23</v>
      </c>
      <c r="H2" s="754" t="s">
        <v>7</v>
      </c>
      <c r="I2" s="754" t="s">
        <v>47</v>
      </c>
    </row>
    <row r="3" spans="1:10" ht="19.5" customHeight="1" x14ac:dyDescent="0.25">
      <c r="A3" s="754"/>
      <c r="B3" s="754"/>
      <c r="C3" s="396" t="s">
        <v>5</v>
      </c>
      <c r="D3" s="396" t="s">
        <v>152</v>
      </c>
      <c r="E3" s="756"/>
      <c r="F3" s="754"/>
      <c r="H3" s="754"/>
      <c r="I3" s="754"/>
    </row>
    <row r="4" spans="1:10" x14ac:dyDescent="0.25">
      <c r="A4" s="262" t="s">
        <v>11</v>
      </c>
      <c r="B4" s="264">
        <v>925758</v>
      </c>
      <c r="C4" s="264">
        <v>109939</v>
      </c>
      <c r="D4" s="264">
        <v>355500</v>
      </c>
      <c r="E4" s="221">
        <f>+B4-(C4+D4)</f>
        <v>460319</v>
      </c>
      <c r="F4" s="235"/>
      <c r="H4" s="262" t="s">
        <v>11</v>
      </c>
      <c r="I4" s="264">
        <v>925758</v>
      </c>
    </row>
    <row r="5" spans="1:10" x14ac:dyDescent="0.25">
      <c r="A5" s="262" t="s">
        <v>17</v>
      </c>
      <c r="B5" s="262">
        <v>85134</v>
      </c>
      <c r="C5" s="262">
        <v>36084</v>
      </c>
      <c r="D5" s="262">
        <v>49050</v>
      </c>
      <c r="E5" s="221">
        <f t="shared" ref="E5:E11" si="0">+B5-(C5+D5)</f>
        <v>0</v>
      </c>
      <c r="F5" s="36"/>
      <c r="H5" s="262" t="s">
        <v>17</v>
      </c>
      <c r="I5" s="262">
        <v>85134</v>
      </c>
    </row>
    <row r="6" spans="1:10" x14ac:dyDescent="0.25">
      <c r="A6" s="262" t="s">
        <v>24</v>
      </c>
      <c r="B6" s="264">
        <v>77685</v>
      </c>
      <c r="C6" s="264">
        <v>77685</v>
      </c>
      <c r="D6" s="264"/>
      <c r="E6" s="221">
        <f t="shared" si="0"/>
        <v>0</v>
      </c>
      <c r="F6" s="36"/>
      <c r="H6" s="262" t="s">
        <v>24</v>
      </c>
      <c r="I6" s="264">
        <v>77685</v>
      </c>
    </row>
    <row r="7" spans="1:10" x14ac:dyDescent="0.25">
      <c r="A7" s="262" t="s">
        <v>42</v>
      </c>
      <c r="B7" s="262">
        <v>504733</v>
      </c>
      <c r="C7" s="262">
        <v>504733</v>
      </c>
      <c r="D7" s="262"/>
      <c r="E7" s="221">
        <f t="shared" si="0"/>
        <v>0</v>
      </c>
      <c r="F7" s="37"/>
      <c r="H7" s="262" t="s">
        <v>42</v>
      </c>
      <c r="I7" s="262">
        <v>504733</v>
      </c>
    </row>
    <row r="8" spans="1:10" x14ac:dyDescent="0.25">
      <c r="A8" s="262" t="s">
        <v>29</v>
      </c>
      <c r="B8" s="262">
        <v>14312</v>
      </c>
      <c r="C8" s="262">
        <v>14312</v>
      </c>
      <c r="D8" s="262"/>
      <c r="E8" s="221">
        <f t="shared" si="0"/>
        <v>0</v>
      </c>
      <c r="F8" s="248"/>
      <c r="H8" s="262" t="s">
        <v>29</v>
      </c>
      <c r="I8" s="262">
        <v>14312</v>
      </c>
    </row>
    <row r="9" spans="1:10" x14ac:dyDescent="0.25">
      <c r="A9" s="262" t="s">
        <v>260</v>
      </c>
      <c r="B9" s="262">
        <v>73385</v>
      </c>
      <c r="C9" s="262"/>
      <c r="D9" s="262">
        <v>73385</v>
      </c>
      <c r="E9" s="221">
        <f>+B9-(C9+D9)</f>
        <v>0</v>
      </c>
      <c r="F9" s="251"/>
      <c r="H9" s="262" t="s">
        <v>260</v>
      </c>
      <c r="I9" s="262">
        <v>73385</v>
      </c>
    </row>
    <row r="10" spans="1:10" x14ac:dyDescent="0.25">
      <c r="A10" s="262" t="s">
        <v>230</v>
      </c>
      <c r="B10" s="262"/>
      <c r="C10" s="262"/>
      <c r="D10" s="262"/>
      <c r="E10" s="221">
        <f t="shared" si="0"/>
        <v>0</v>
      </c>
      <c r="F10" s="248"/>
      <c r="H10" s="262" t="s">
        <v>230</v>
      </c>
      <c r="I10" s="262"/>
    </row>
    <row r="11" spans="1:10" x14ac:dyDescent="0.25">
      <c r="A11" s="262" t="s">
        <v>332</v>
      </c>
      <c r="B11" s="262">
        <v>36333</v>
      </c>
      <c r="C11" s="262">
        <v>36333</v>
      </c>
      <c r="D11" s="262"/>
      <c r="E11" s="221">
        <f t="shared" si="0"/>
        <v>0</v>
      </c>
      <c r="F11" s="248"/>
      <c r="H11" s="262" t="s">
        <v>332</v>
      </c>
      <c r="I11" s="262">
        <v>36333</v>
      </c>
    </row>
    <row r="12" spans="1:10" x14ac:dyDescent="0.25">
      <c r="A12" s="396" t="s">
        <v>12</v>
      </c>
      <c r="B12" s="250">
        <f>SUM(B4:B11)</f>
        <v>1717340</v>
      </c>
      <c r="C12" s="250">
        <f>SUM(C4:C11)</f>
        <v>779086</v>
      </c>
      <c r="D12" s="250">
        <f>SUM(D4:D10)</f>
        <v>477935</v>
      </c>
      <c r="E12" s="162">
        <f>SUM(E4:E11)</f>
        <v>460319</v>
      </c>
      <c r="F12" s="253"/>
      <c r="H12" s="402" t="s">
        <v>12</v>
      </c>
      <c r="I12" s="250">
        <f>SUM(I4:I11)</f>
        <v>1717340</v>
      </c>
    </row>
    <row r="15" spans="1:10" x14ac:dyDescent="0.25">
      <c r="A15" s="752" t="s">
        <v>198</v>
      </c>
      <c r="B15" s="752"/>
      <c r="C15" s="752"/>
      <c r="D15" s="752"/>
      <c r="E15" s="759" t="s">
        <v>289</v>
      </c>
      <c r="G15" s="758"/>
      <c r="H15" s="758"/>
      <c r="I15" s="758"/>
      <c r="J15" s="758"/>
    </row>
    <row r="16" spans="1:10" ht="13.5" customHeight="1" x14ac:dyDescent="0.25">
      <c r="A16" s="406" t="s">
        <v>168</v>
      </c>
      <c r="B16" s="406" t="s">
        <v>169</v>
      </c>
      <c r="C16" s="406" t="s">
        <v>172</v>
      </c>
      <c r="D16" s="406" t="s">
        <v>170</v>
      </c>
      <c r="E16" s="760"/>
      <c r="G16" s="403"/>
      <c r="H16" s="403"/>
      <c r="I16" s="403"/>
      <c r="J16" s="403"/>
    </row>
    <row r="17" spans="1:10" ht="13.5" customHeight="1" x14ac:dyDescent="0.25">
      <c r="A17" s="276" t="s">
        <v>358</v>
      </c>
      <c r="B17" s="276">
        <v>43000</v>
      </c>
      <c r="C17" s="242">
        <v>42500</v>
      </c>
      <c r="D17" s="276"/>
      <c r="E17" s="255"/>
      <c r="G17" s="322"/>
      <c r="H17" s="303"/>
      <c r="I17" s="304"/>
      <c r="J17" s="316"/>
    </row>
    <row r="18" spans="1:10" s="261" customFormat="1" ht="13.5" customHeight="1" x14ac:dyDescent="0.25">
      <c r="A18" s="276" t="s">
        <v>448</v>
      </c>
      <c r="B18" s="276">
        <v>120000</v>
      </c>
      <c r="C18" s="242">
        <v>42520</v>
      </c>
      <c r="D18" s="276" t="s">
        <v>431</v>
      </c>
      <c r="E18" s="255"/>
      <c r="G18" s="322"/>
      <c r="H18" s="303"/>
      <c r="I18" s="304"/>
      <c r="J18" s="316"/>
    </row>
    <row r="19" spans="1:10" x14ac:dyDescent="0.25">
      <c r="A19" s="276" t="s">
        <v>358</v>
      </c>
      <c r="B19" s="276">
        <v>39000</v>
      </c>
      <c r="C19" s="242">
        <v>42509</v>
      </c>
      <c r="D19" s="276" t="s">
        <v>273</v>
      </c>
      <c r="E19" s="13"/>
      <c r="G19" s="322"/>
      <c r="H19" s="303"/>
      <c r="I19" s="304"/>
      <c r="J19" s="316"/>
    </row>
    <row r="20" spans="1:10" x14ac:dyDescent="0.25">
      <c r="A20" s="276" t="s">
        <v>358</v>
      </c>
      <c r="B20" s="276">
        <v>24000</v>
      </c>
      <c r="C20" s="242">
        <v>42520</v>
      </c>
      <c r="D20" s="276"/>
      <c r="E20" s="13"/>
      <c r="G20" s="322"/>
      <c r="H20" s="303"/>
      <c r="I20" s="304"/>
      <c r="J20" s="316"/>
    </row>
    <row r="21" spans="1:10" x14ac:dyDescent="0.25">
      <c r="A21" s="276" t="s">
        <v>368</v>
      </c>
      <c r="B21" s="276">
        <v>11000</v>
      </c>
      <c r="C21" s="242">
        <v>42513</v>
      </c>
      <c r="D21" s="276"/>
      <c r="E21" s="255"/>
      <c r="G21" s="322"/>
      <c r="H21" s="303"/>
      <c r="I21" s="304"/>
      <c r="J21" s="303"/>
    </row>
    <row r="22" spans="1:10" x14ac:dyDescent="0.25">
      <c r="A22" s="276" t="s">
        <v>368</v>
      </c>
      <c r="B22" s="276">
        <v>10000</v>
      </c>
      <c r="C22" s="242">
        <v>42520</v>
      </c>
      <c r="D22" s="276"/>
      <c r="E22" s="255"/>
    </row>
    <row r="23" spans="1:10" x14ac:dyDescent="0.25">
      <c r="A23" s="276" t="s">
        <v>119</v>
      </c>
      <c r="B23" s="276">
        <v>16500</v>
      </c>
      <c r="C23" s="242">
        <v>42495</v>
      </c>
      <c r="D23" s="276"/>
      <c r="E23" s="255"/>
    </row>
    <row r="24" spans="1:10" ht="14.25" customHeight="1" x14ac:dyDescent="0.25">
      <c r="A24" s="276" t="s">
        <v>364</v>
      </c>
      <c r="B24" s="276">
        <v>38000</v>
      </c>
      <c r="C24" s="242">
        <v>42515</v>
      </c>
      <c r="D24" s="276"/>
      <c r="E24" s="255"/>
      <c r="G24" s="758"/>
      <c r="H24" s="758"/>
      <c r="I24" s="758"/>
      <c r="J24" s="758"/>
    </row>
    <row r="25" spans="1:10" x14ac:dyDescent="0.25">
      <c r="A25" s="276" t="s">
        <v>427</v>
      </c>
      <c r="B25" s="276">
        <v>18500</v>
      </c>
      <c r="C25" s="242">
        <v>42513</v>
      </c>
      <c r="D25" s="276"/>
      <c r="E25" s="255"/>
      <c r="G25" s="322"/>
      <c r="H25" s="303"/>
      <c r="I25" s="304"/>
      <c r="J25" s="316"/>
    </row>
    <row r="26" spans="1:10" x14ac:dyDescent="0.25">
      <c r="A26" s="276" t="s">
        <v>428</v>
      </c>
      <c r="B26" s="276">
        <v>45000</v>
      </c>
      <c r="C26" s="242">
        <v>42520</v>
      </c>
      <c r="D26" s="276" t="s">
        <v>429</v>
      </c>
      <c r="E26" s="255"/>
      <c r="G26" s="322"/>
      <c r="H26" s="303"/>
      <c r="I26" s="304"/>
      <c r="J26" s="316"/>
    </row>
    <row r="27" spans="1:10" x14ac:dyDescent="0.25">
      <c r="A27" s="276" t="s">
        <v>392</v>
      </c>
      <c r="B27" s="276">
        <v>20000</v>
      </c>
      <c r="C27" s="242">
        <v>42520</v>
      </c>
      <c r="D27" s="276" t="s">
        <v>390</v>
      </c>
      <c r="E27" s="255"/>
      <c r="G27" s="3"/>
      <c r="H27" s="3"/>
      <c r="I27" s="3"/>
      <c r="J27" s="3"/>
    </row>
    <row r="28" spans="1:10" x14ac:dyDescent="0.25">
      <c r="A28" s="276" t="s">
        <v>206</v>
      </c>
      <c r="B28" s="276">
        <v>40000</v>
      </c>
      <c r="C28" s="242">
        <v>42493</v>
      </c>
      <c r="D28" s="276"/>
      <c r="E28" s="255"/>
      <c r="G28" s="403"/>
      <c r="H28" s="403"/>
      <c r="I28" s="403"/>
      <c r="J28" s="403"/>
    </row>
    <row r="29" spans="1:10" x14ac:dyDescent="0.25">
      <c r="A29" s="276" t="s">
        <v>328</v>
      </c>
      <c r="B29" s="276">
        <v>4028</v>
      </c>
      <c r="C29" s="242">
        <v>42493</v>
      </c>
      <c r="D29" s="276"/>
      <c r="E29" s="255"/>
      <c r="G29" s="403"/>
      <c r="H29" s="403"/>
      <c r="I29" s="403"/>
      <c r="J29" s="403"/>
    </row>
    <row r="30" spans="1:10" x14ac:dyDescent="0.25">
      <c r="A30" s="276" t="s">
        <v>391</v>
      </c>
      <c r="B30" s="276">
        <v>15207</v>
      </c>
      <c r="C30" s="242">
        <v>42500</v>
      </c>
      <c r="D30" s="276"/>
      <c r="E30" s="255"/>
      <c r="G30" s="322"/>
      <c r="H30" s="303"/>
      <c r="I30" s="304"/>
      <c r="J30" s="316"/>
    </row>
    <row r="31" spans="1:10" x14ac:dyDescent="0.25">
      <c r="A31" s="276" t="s">
        <v>430</v>
      </c>
      <c r="B31" s="276">
        <v>20084</v>
      </c>
      <c r="C31" s="242">
        <v>42498</v>
      </c>
      <c r="D31" s="276"/>
      <c r="E31" s="255"/>
      <c r="G31" s="403"/>
      <c r="H31" s="403"/>
      <c r="I31" s="403"/>
      <c r="J31" s="403"/>
    </row>
    <row r="32" spans="1:10" x14ac:dyDescent="0.25">
      <c r="A32" s="406" t="s">
        <v>171</v>
      </c>
      <c r="B32" s="406">
        <f>SUM(B17:B31)</f>
        <v>464319</v>
      </c>
      <c r="C32" s="276"/>
      <c r="D32" s="276"/>
      <c r="E32" s="279"/>
    </row>
    <row r="33" spans="1:6" x14ac:dyDescent="0.25">
      <c r="A33" s="261"/>
      <c r="B33" s="261"/>
      <c r="C33" s="261"/>
      <c r="D33" s="261"/>
    </row>
    <row r="34" spans="1:6" x14ac:dyDescent="0.25">
      <c r="A34" s="743"/>
      <c r="B34" s="743"/>
      <c r="C34" s="743"/>
      <c r="D34" s="743"/>
    </row>
    <row r="35" spans="1:6" x14ac:dyDescent="0.25">
      <c r="A35" s="407"/>
      <c r="B35" s="407"/>
      <c r="C35" s="407"/>
      <c r="D35" s="407"/>
    </row>
    <row r="36" spans="1:6" x14ac:dyDescent="0.25">
      <c r="A36" s="322"/>
      <c r="B36" s="322"/>
      <c r="C36" s="324"/>
      <c r="D36" s="6"/>
    </row>
    <row r="37" spans="1:6" x14ac:dyDescent="0.25">
      <c r="A37" s="322"/>
      <c r="B37" s="322"/>
      <c r="C37" s="324"/>
      <c r="D37" s="6"/>
    </row>
    <row r="38" spans="1:6" ht="23.25" customHeight="1" x14ac:dyDescent="0.25">
      <c r="A38" s="322"/>
      <c r="B38" s="322"/>
      <c r="C38" s="324"/>
      <c r="D38" s="6"/>
      <c r="E38" s="312"/>
      <c r="F38" s="312"/>
    </row>
    <row r="39" spans="1:6" ht="19.5" customHeight="1" x14ac:dyDescent="0.25">
      <c r="A39" s="398"/>
      <c r="B39" s="398"/>
      <c r="C39" s="398"/>
      <c r="D39" s="398"/>
      <c r="E39" s="313"/>
      <c r="F39" s="314"/>
    </row>
    <row r="40" spans="1:6" ht="19.5" customHeight="1" x14ac:dyDescent="0.25">
      <c r="A40" s="322"/>
      <c r="B40" s="303"/>
      <c r="C40" s="304"/>
      <c r="D40" s="316"/>
      <c r="E40" s="313"/>
      <c r="F40" s="314"/>
    </row>
    <row r="41" spans="1:6" x14ac:dyDescent="0.25">
      <c r="A41" s="761"/>
      <c r="B41" s="762"/>
      <c r="C41" s="762"/>
      <c r="D41" s="763"/>
      <c r="E41" s="320"/>
      <c r="F41" s="3"/>
    </row>
    <row r="42" spans="1:6" x14ac:dyDescent="0.25">
      <c r="A42" s="397"/>
      <c r="B42" s="397"/>
      <c r="C42" s="397"/>
      <c r="D42" s="397"/>
      <c r="E42" s="55"/>
      <c r="F42" s="3"/>
    </row>
    <row r="43" spans="1:6" x14ac:dyDescent="0.25">
      <c r="A43" s="276"/>
      <c r="B43" s="274"/>
      <c r="C43" s="275"/>
      <c r="D43" s="255"/>
      <c r="E43" s="79"/>
      <c r="F43" s="3"/>
    </row>
    <row r="44" spans="1:6" x14ac:dyDescent="0.25">
      <c r="A44" s="276"/>
      <c r="B44" s="274"/>
      <c r="C44" s="275"/>
      <c r="D44" s="255"/>
    </row>
    <row r="45" spans="1:6" x14ac:dyDescent="0.25">
      <c r="A45" s="276"/>
      <c r="B45" s="274"/>
      <c r="C45" s="275"/>
      <c r="D45" s="255"/>
    </row>
    <row r="46" spans="1:6" x14ac:dyDescent="0.25">
      <c r="A46" s="276"/>
      <c r="B46" s="274"/>
      <c r="C46" s="275"/>
      <c r="D46" s="255"/>
    </row>
    <row r="47" spans="1:6" x14ac:dyDescent="0.25">
      <c r="A47" s="276"/>
      <c r="B47" s="274"/>
      <c r="C47" s="275"/>
      <c r="D47" s="274"/>
    </row>
    <row r="48" spans="1:6" x14ac:dyDescent="0.25">
      <c r="A48" s="274"/>
      <c r="B48" s="321"/>
      <c r="C48" s="275"/>
      <c r="D48" s="274"/>
    </row>
    <row r="49" spans="2:2" x14ac:dyDescent="0.25">
      <c r="B49" s="3"/>
    </row>
    <row r="50" spans="2:2" x14ac:dyDescent="0.25">
      <c r="B50" s="238"/>
    </row>
  </sheetData>
  <mergeCells count="15">
    <mergeCell ref="A41:D41"/>
    <mergeCell ref="A1:F1"/>
    <mergeCell ref="H1:I1"/>
    <mergeCell ref="A2:A3"/>
    <mergeCell ref="B2:B3"/>
    <mergeCell ref="C2:D2"/>
    <mergeCell ref="E2:E3"/>
    <mergeCell ref="F2:F3"/>
    <mergeCell ref="H2:H3"/>
    <mergeCell ref="I2:I3"/>
    <mergeCell ref="A15:D15"/>
    <mergeCell ref="E15:E16"/>
    <mergeCell ref="G15:J15"/>
    <mergeCell ref="G24:J24"/>
    <mergeCell ref="A34:D34"/>
  </mergeCells>
  <pageMargins left="0.7" right="0.7" top="0.5" bottom="0" header="0.3" footer="0"/>
  <pageSetup paperSize="9" scale="80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opLeftCell="A2" zoomScaleNormal="100" workbookViewId="0">
      <selection activeCell="B22" sqref="B22"/>
    </sheetView>
  </sheetViews>
  <sheetFormatPr defaultRowHeight="15" x14ac:dyDescent="0.25"/>
  <cols>
    <col min="1" max="1" width="14.42578125" style="260" customWidth="1"/>
    <col min="2" max="5" width="12.140625" style="260" customWidth="1"/>
    <col min="6" max="6" width="27.42578125" style="260" customWidth="1"/>
    <col min="7" max="7" width="21.5703125" style="260" customWidth="1"/>
    <col min="8" max="9" width="14.5703125" style="260" customWidth="1"/>
    <col min="10" max="16384" width="9.140625" style="260"/>
  </cols>
  <sheetData>
    <row r="1" spans="1:10" ht="31.5" customHeight="1" x14ac:dyDescent="0.25">
      <c r="A1" s="754" t="s">
        <v>378</v>
      </c>
      <c r="B1" s="754"/>
      <c r="C1" s="754"/>
      <c r="D1" s="754"/>
      <c r="E1" s="754"/>
      <c r="F1" s="754"/>
      <c r="H1" s="745" t="s">
        <v>379</v>
      </c>
      <c r="I1" s="745"/>
    </row>
    <row r="2" spans="1:10" ht="19.5" customHeight="1" x14ac:dyDescent="0.25">
      <c r="A2" s="754" t="s">
        <v>7</v>
      </c>
      <c r="B2" s="754" t="s">
        <v>47</v>
      </c>
      <c r="C2" s="754" t="s">
        <v>199</v>
      </c>
      <c r="D2" s="754"/>
      <c r="E2" s="755" t="s">
        <v>32</v>
      </c>
      <c r="F2" s="754" t="s">
        <v>23</v>
      </c>
      <c r="H2" s="754" t="s">
        <v>7</v>
      </c>
      <c r="I2" s="754" t="s">
        <v>47</v>
      </c>
    </row>
    <row r="3" spans="1:10" ht="19.5" customHeight="1" x14ac:dyDescent="0.25">
      <c r="A3" s="754"/>
      <c r="B3" s="754"/>
      <c r="C3" s="384" t="s">
        <v>5</v>
      </c>
      <c r="D3" s="384" t="s">
        <v>152</v>
      </c>
      <c r="E3" s="756"/>
      <c r="F3" s="754"/>
      <c r="H3" s="754"/>
      <c r="I3" s="754"/>
    </row>
    <row r="4" spans="1:10" x14ac:dyDescent="0.25">
      <c r="A4" s="262" t="s">
        <v>11</v>
      </c>
      <c r="B4" s="264">
        <v>896749</v>
      </c>
      <c r="C4" s="264">
        <v>95700</v>
      </c>
      <c r="D4" s="264">
        <v>315141</v>
      </c>
      <c r="E4" s="221">
        <f>+B4-(C4+D4)</f>
        <v>485908</v>
      </c>
      <c r="F4" s="235"/>
      <c r="H4" s="262" t="s">
        <v>11</v>
      </c>
      <c r="I4" s="264">
        <v>896749</v>
      </c>
    </row>
    <row r="5" spans="1:10" x14ac:dyDescent="0.25">
      <c r="A5" s="262" t="s">
        <v>17</v>
      </c>
      <c r="B5" s="262">
        <v>202730</v>
      </c>
      <c r="C5" s="262">
        <v>99833</v>
      </c>
      <c r="D5" s="262">
        <v>102897</v>
      </c>
      <c r="E5" s="221">
        <f t="shared" ref="E5:E11" si="0">+B5-(C5+D5)</f>
        <v>0</v>
      </c>
      <c r="F5" s="36"/>
      <c r="H5" s="262" t="s">
        <v>17</v>
      </c>
      <c r="I5" s="262">
        <v>202730</v>
      </c>
    </row>
    <row r="6" spans="1:10" x14ac:dyDescent="0.25">
      <c r="A6" s="262" t="s">
        <v>24</v>
      </c>
      <c r="B6" s="264">
        <v>129900</v>
      </c>
      <c r="C6" s="264">
        <v>104829</v>
      </c>
      <c r="D6" s="264">
        <v>25071</v>
      </c>
      <c r="E6" s="221">
        <f t="shared" si="0"/>
        <v>0</v>
      </c>
      <c r="F6" s="36"/>
      <c r="H6" s="262" t="s">
        <v>24</v>
      </c>
      <c r="I6" s="264">
        <v>129900</v>
      </c>
    </row>
    <row r="7" spans="1:10" x14ac:dyDescent="0.25">
      <c r="A7" s="262" t="s">
        <v>42</v>
      </c>
      <c r="B7" s="262">
        <v>332030</v>
      </c>
      <c r="C7" s="262">
        <v>332030</v>
      </c>
      <c r="D7" s="262">
        <v>0</v>
      </c>
      <c r="E7" s="221">
        <f t="shared" si="0"/>
        <v>0</v>
      </c>
      <c r="F7" s="37"/>
      <c r="H7" s="262" t="s">
        <v>42</v>
      </c>
      <c r="I7" s="262">
        <v>332030</v>
      </c>
    </row>
    <row r="8" spans="1:10" x14ac:dyDescent="0.25">
      <c r="A8" s="262" t="s">
        <v>29</v>
      </c>
      <c r="B8" s="262">
        <v>14312</v>
      </c>
      <c r="C8" s="262">
        <v>14312</v>
      </c>
      <c r="D8" s="262"/>
      <c r="E8" s="221">
        <f t="shared" si="0"/>
        <v>0</v>
      </c>
      <c r="F8" s="248"/>
      <c r="H8" s="262" t="s">
        <v>29</v>
      </c>
      <c r="I8" s="262">
        <v>14312</v>
      </c>
    </row>
    <row r="9" spans="1:10" x14ac:dyDescent="0.25">
      <c r="A9" s="262" t="s">
        <v>260</v>
      </c>
      <c r="B9" s="262">
        <v>3000</v>
      </c>
      <c r="C9" s="262"/>
      <c r="D9" s="262">
        <v>3000</v>
      </c>
      <c r="E9" s="221">
        <f t="shared" si="0"/>
        <v>0</v>
      </c>
      <c r="F9" s="251"/>
      <c r="H9" s="262" t="s">
        <v>260</v>
      </c>
      <c r="I9" s="262">
        <v>3000</v>
      </c>
    </row>
    <row r="10" spans="1:10" x14ac:dyDescent="0.25">
      <c r="A10" s="262" t="s">
        <v>230</v>
      </c>
      <c r="B10" s="262"/>
      <c r="C10" s="262"/>
      <c r="D10" s="262"/>
      <c r="E10" s="221">
        <f t="shared" si="0"/>
        <v>0</v>
      </c>
      <c r="F10" s="248"/>
      <c r="H10" s="262" t="s">
        <v>230</v>
      </c>
      <c r="I10" s="262"/>
    </row>
    <row r="11" spans="1:10" x14ac:dyDescent="0.25">
      <c r="A11" s="262" t="s">
        <v>332</v>
      </c>
      <c r="B11" s="262">
        <v>50551</v>
      </c>
      <c r="C11" s="262">
        <v>50551</v>
      </c>
      <c r="D11" s="262"/>
      <c r="E11" s="221">
        <f t="shared" si="0"/>
        <v>0</v>
      </c>
      <c r="F11" s="248"/>
      <c r="H11" s="262" t="s">
        <v>332</v>
      </c>
      <c r="I11" s="262">
        <v>50551</v>
      </c>
    </row>
    <row r="12" spans="1:10" x14ac:dyDescent="0.25">
      <c r="A12" s="384" t="s">
        <v>12</v>
      </c>
      <c r="B12" s="250">
        <f>SUM(B4:B11)</f>
        <v>1629272</v>
      </c>
      <c r="C12" s="250">
        <f>SUM(C4:C11)</f>
        <v>697255</v>
      </c>
      <c r="D12" s="250">
        <f>SUM(D4:D10)</f>
        <v>446109</v>
      </c>
      <c r="E12" s="162">
        <f>SUM(E4:E11)</f>
        <v>485908</v>
      </c>
      <c r="F12" s="253"/>
      <c r="H12" s="384" t="s">
        <v>12</v>
      </c>
      <c r="I12" s="250">
        <f>SUM(I4:I11)</f>
        <v>1629272</v>
      </c>
    </row>
    <row r="15" spans="1:10" x14ac:dyDescent="0.25">
      <c r="A15" s="764" t="s">
        <v>198</v>
      </c>
      <c r="B15" s="764"/>
      <c r="C15" s="764"/>
      <c r="D15" s="764"/>
      <c r="E15" s="759" t="s">
        <v>289</v>
      </c>
      <c r="G15" s="758"/>
      <c r="H15" s="758"/>
      <c r="I15" s="758"/>
      <c r="J15" s="758"/>
    </row>
    <row r="16" spans="1:10" ht="13.5" customHeight="1" x14ac:dyDescent="0.25">
      <c r="A16" s="383" t="s">
        <v>168</v>
      </c>
      <c r="B16" s="383" t="s">
        <v>169</v>
      </c>
      <c r="C16" s="383" t="s">
        <v>172</v>
      </c>
      <c r="D16" s="383" t="s">
        <v>170</v>
      </c>
      <c r="E16" s="760"/>
      <c r="G16" s="408"/>
      <c r="H16" s="408"/>
      <c r="I16" s="408"/>
      <c r="J16" s="408"/>
    </row>
    <row r="17" spans="1:10" ht="13.5" customHeight="1" x14ac:dyDescent="0.25">
      <c r="A17" s="276" t="s">
        <v>356</v>
      </c>
      <c r="B17" s="274">
        <v>55000</v>
      </c>
      <c r="C17" s="275">
        <v>42478</v>
      </c>
      <c r="D17" s="274" t="s">
        <v>405</v>
      </c>
      <c r="E17" s="255"/>
      <c r="G17" s="322"/>
      <c r="H17" s="303"/>
      <c r="I17" s="304"/>
      <c r="J17" s="316"/>
    </row>
    <row r="18" spans="1:10" s="261" customFormat="1" ht="13.5" customHeight="1" x14ac:dyDescent="0.25">
      <c r="A18" s="276" t="s">
        <v>358</v>
      </c>
      <c r="B18" s="276">
        <v>16000</v>
      </c>
      <c r="C18" s="275">
        <v>42490</v>
      </c>
      <c r="D18" s="274"/>
      <c r="E18" s="255"/>
      <c r="G18" s="322"/>
      <c r="H18" s="303"/>
      <c r="I18" s="304"/>
      <c r="J18" s="316"/>
    </row>
    <row r="19" spans="1:10" x14ac:dyDescent="0.25">
      <c r="A19" s="276" t="s">
        <v>364</v>
      </c>
      <c r="B19" s="274">
        <v>44000</v>
      </c>
      <c r="C19" s="275">
        <v>42465</v>
      </c>
      <c r="D19" s="274"/>
      <c r="E19" s="255"/>
      <c r="G19" s="322"/>
      <c r="H19" s="303"/>
      <c r="I19" s="304"/>
      <c r="J19" s="316"/>
    </row>
    <row r="20" spans="1:10" x14ac:dyDescent="0.25">
      <c r="A20" s="276" t="s">
        <v>364</v>
      </c>
      <c r="B20" s="274">
        <v>7000</v>
      </c>
      <c r="C20" s="275">
        <v>42470</v>
      </c>
      <c r="D20" s="274"/>
      <c r="E20" s="255"/>
      <c r="G20" s="322"/>
      <c r="H20" s="303"/>
      <c r="I20" s="304"/>
      <c r="J20" s="316"/>
    </row>
    <row r="21" spans="1:10" x14ac:dyDescent="0.25">
      <c r="A21" s="276" t="s">
        <v>364</v>
      </c>
      <c r="B21" s="274">
        <v>39000</v>
      </c>
      <c r="C21" s="275">
        <v>42472</v>
      </c>
      <c r="D21" s="274" t="s">
        <v>389</v>
      </c>
      <c r="E21" s="255"/>
      <c r="G21" s="322"/>
      <c r="H21" s="303"/>
      <c r="I21" s="304"/>
      <c r="J21" s="303"/>
    </row>
    <row r="22" spans="1:10" x14ac:dyDescent="0.25">
      <c r="A22" s="276" t="s">
        <v>119</v>
      </c>
      <c r="B22" s="274">
        <v>39500</v>
      </c>
      <c r="C22" s="275">
        <v>42472</v>
      </c>
      <c r="D22" s="274"/>
      <c r="E22" s="255"/>
      <c r="G22" s="303"/>
      <c r="H22" s="372"/>
      <c r="I22" s="304"/>
      <c r="J22" s="303"/>
    </row>
    <row r="23" spans="1:10" x14ac:dyDescent="0.25">
      <c r="A23" s="276" t="s">
        <v>119</v>
      </c>
      <c r="B23" s="274">
        <v>35500</v>
      </c>
      <c r="C23" s="275">
        <v>42486</v>
      </c>
      <c r="D23" s="274"/>
      <c r="E23" s="255"/>
    </row>
    <row r="24" spans="1:10" x14ac:dyDescent="0.25">
      <c r="A24" s="276" t="s">
        <v>364</v>
      </c>
      <c r="B24" s="274">
        <v>20000</v>
      </c>
      <c r="C24" s="275">
        <v>42441</v>
      </c>
      <c r="D24" s="274" t="s">
        <v>390</v>
      </c>
      <c r="E24" s="255"/>
    </row>
    <row r="25" spans="1:10" x14ac:dyDescent="0.25">
      <c r="A25" s="276" t="s">
        <v>368</v>
      </c>
      <c r="B25" s="274">
        <v>30001</v>
      </c>
      <c r="C25" s="275">
        <v>42463</v>
      </c>
      <c r="D25" s="274"/>
      <c r="E25" s="255"/>
      <c r="G25" s="758"/>
      <c r="H25" s="758"/>
      <c r="I25" s="758"/>
      <c r="J25" s="758"/>
    </row>
    <row r="26" spans="1:10" x14ac:dyDescent="0.25">
      <c r="A26" s="276" t="s">
        <v>268</v>
      </c>
      <c r="B26" s="274">
        <v>10000</v>
      </c>
      <c r="C26" s="275">
        <v>42464</v>
      </c>
      <c r="D26" s="274"/>
      <c r="E26" s="255"/>
      <c r="G26" s="408"/>
      <c r="H26" s="408"/>
      <c r="I26" s="408"/>
      <c r="J26" s="408"/>
    </row>
    <row r="27" spans="1:10" x14ac:dyDescent="0.25">
      <c r="A27" s="276" t="s">
        <v>412</v>
      </c>
      <c r="B27" s="276">
        <v>16392</v>
      </c>
      <c r="C27" s="242">
        <v>42478</v>
      </c>
      <c r="D27" s="276"/>
      <c r="E27" s="255"/>
      <c r="G27" s="322"/>
      <c r="H27" s="303"/>
      <c r="I27" s="304"/>
      <c r="J27" s="316"/>
    </row>
    <row r="28" spans="1:10" x14ac:dyDescent="0.25">
      <c r="A28" s="274" t="s">
        <v>272</v>
      </c>
      <c r="B28" s="274">
        <v>10400</v>
      </c>
      <c r="C28" s="275">
        <v>42472</v>
      </c>
      <c r="D28" s="274"/>
      <c r="E28" s="255"/>
      <c r="G28" s="322"/>
      <c r="H28" s="303"/>
      <c r="I28" s="304"/>
      <c r="J28" s="316"/>
    </row>
    <row r="29" spans="1:10" x14ac:dyDescent="0.25">
      <c r="A29" s="276" t="s">
        <v>392</v>
      </c>
      <c r="B29" s="274">
        <v>46950</v>
      </c>
      <c r="C29" s="275">
        <v>42470</v>
      </c>
      <c r="D29" s="274"/>
      <c r="E29" s="255"/>
    </row>
    <row r="30" spans="1:10" x14ac:dyDescent="0.25">
      <c r="A30" s="276" t="s">
        <v>393</v>
      </c>
      <c r="B30" s="274">
        <v>30107</v>
      </c>
      <c r="C30" s="275">
        <v>42472</v>
      </c>
      <c r="D30" s="274" t="s">
        <v>394</v>
      </c>
      <c r="E30" s="255"/>
    </row>
    <row r="31" spans="1:10" x14ac:dyDescent="0.25">
      <c r="A31" s="276" t="s">
        <v>395</v>
      </c>
      <c r="B31" s="274">
        <v>20000</v>
      </c>
      <c r="C31" s="275">
        <v>42475</v>
      </c>
      <c r="D31" s="274" t="s">
        <v>396</v>
      </c>
      <c r="E31" s="255"/>
    </row>
    <row r="32" spans="1:10" x14ac:dyDescent="0.25">
      <c r="A32" s="276" t="s">
        <v>397</v>
      </c>
      <c r="B32" s="274">
        <v>30236</v>
      </c>
      <c r="C32" s="275">
        <v>42476</v>
      </c>
      <c r="D32" s="274" t="s">
        <v>398</v>
      </c>
      <c r="E32" s="255"/>
    </row>
    <row r="33" spans="1:6" x14ac:dyDescent="0.25">
      <c r="A33" s="383" t="s">
        <v>171</v>
      </c>
      <c r="B33" s="383">
        <f>SUM(B17:B32)</f>
        <v>450086</v>
      </c>
      <c r="C33" s="274"/>
      <c r="D33" s="274"/>
      <c r="E33" s="279"/>
    </row>
    <row r="35" spans="1:6" x14ac:dyDescent="0.25">
      <c r="A35" s="758"/>
      <c r="B35" s="758"/>
      <c r="C35" s="758"/>
      <c r="D35" s="758"/>
    </row>
    <row r="36" spans="1:6" x14ac:dyDescent="0.25">
      <c r="A36" s="388"/>
      <c r="B36" s="388"/>
      <c r="C36" s="388"/>
      <c r="D36" s="388"/>
    </row>
    <row r="37" spans="1:6" x14ac:dyDescent="0.25">
      <c r="A37" s="322"/>
      <c r="B37" s="303"/>
      <c r="C37" s="304"/>
      <c r="D37" s="316"/>
    </row>
    <row r="38" spans="1:6" x14ac:dyDescent="0.25">
      <c r="A38" s="322"/>
      <c r="B38" s="303"/>
      <c r="C38" s="304"/>
      <c r="D38" s="316"/>
    </row>
    <row r="39" spans="1:6" ht="23.25" customHeight="1" x14ac:dyDescent="0.25">
      <c r="A39" s="322"/>
      <c r="B39" s="303"/>
      <c r="C39" s="304"/>
      <c r="D39" s="316"/>
      <c r="E39" s="312"/>
      <c r="F39" s="312"/>
    </row>
    <row r="40" spans="1:6" ht="19.5" customHeight="1" x14ac:dyDescent="0.25">
      <c r="A40" s="388"/>
      <c r="B40" s="388"/>
      <c r="C40" s="388"/>
      <c r="D40" s="388"/>
      <c r="E40" s="313"/>
      <c r="F40" s="314"/>
    </row>
    <row r="41" spans="1:6" ht="19.5" customHeight="1" x14ac:dyDescent="0.25">
      <c r="A41" s="322"/>
      <c r="B41" s="303"/>
      <c r="C41" s="304"/>
      <c r="D41" s="316"/>
      <c r="E41" s="313"/>
      <c r="F41" s="314"/>
    </row>
    <row r="42" spans="1:6" x14ac:dyDescent="0.25">
      <c r="A42" s="761"/>
      <c r="B42" s="762"/>
      <c r="C42" s="762"/>
      <c r="D42" s="763"/>
      <c r="E42" s="320"/>
      <c r="F42" s="3"/>
    </row>
    <row r="43" spans="1:6" x14ac:dyDescent="0.25">
      <c r="A43" s="387"/>
      <c r="B43" s="387"/>
      <c r="C43" s="387"/>
      <c r="D43" s="387"/>
      <c r="E43" s="55"/>
      <c r="F43" s="3"/>
    </row>
    <row r="44" spans="1:6" x14ac:dyDescent="0.25">
      <c r="A44" s="276"/>
      <c r="B44" s="274"/>
      <c r="C44" s="275"/>
      <c r="D44" s="255"/>
      <c r="E44" s="79"/>
      <c r="F44" s="3"/>
    </row>
    <row r="45" spans="1:6" x14ac:dyDescent="0.25">
      <c r="A45" s="276"/>
      <c r="B45" s="274"/>
      <c r="C45" s="275"/>
      <c r="D45" s="255"/>
    </row>
    <row r="46" spans="1:6" x14ac:dyDescent="0.25">
      <c r="A46" s="276"/>
      <c r="B46" s="274"/>
      <c r="C46" s="275"/>
      <c r="D46" s="255"/>
    </row>
    <row r="47" spans="1:6" x14ac:dyDescent="0.25">
      <c r="A47" s="276"/>
      <c r="B47" s="274"/>
      <c r="C47" s="275"/>
      <c r="D47" s="255"/>
    </row>
    <row r="48" spans="1:6" x14ac:dyDescent="0.25">
      <c r="A48" s="276"/>
      <c r="B48" s="274"/>
      <c r="C48" s="275"/>
      <c r="D48" s="274"/>
    </row>
    <row r="49" spans="1:4" x14ac:dyDescent="0.25">
      <c r="A49" s="274"/>
      <c r="B49" s="321"/>
      <c r="C49" s="275"/>
      <c r="D49" s="274"/>
    </row>
    <row r="50" spans="1:4" x14ac:dyDescent="0.25">
      <c r="B50" s="3"/>
    </row>
    <row r="51" spans="1:4" x14ac:dyDescent="0.25">
      <c r="B51" s="238"/>
    </row>
  </sheetData>
  <mergeCells count="15">
    <mergeCell ref="A42:D42"/>
    <mergeCell ref="G15:J15"/>
    <mergeCell ref="G25:J25"/>
    <mergeCell ref="H1:I1"/>
    <mergeCell ref="A2:A3"/>
    <mergeCell ref="B2:B3"/>
    <mergeCell ref="C2:D2"/>
    <mergeCell ref="E2:E3"/>
    <mergeCell ref="F2:F3"/>
    <mergeCell ref="H2:H3"/>
    <mergeCell ref="I2:I3"/>
    <mergeCell ref="A15:D15"/>
    <mergeCell ref="E15:E16"/>
    <mergeCell ref="A35:D35"/>
    <mergeCell ref="A1:F1"/>
  </mergeCells>
  <pageMargins left="0.7" right="0.7" top="0.5" bottom="0" header="0.3" footer="0"/>
  <pageSetup paperSize="9" scale="8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opLeftCell="A16" zoomScaleNormal="100" workbookViewId="0">
      <selection activeCell="A16" sqref="A16"/>
    </sheetView>
  </sheetViews>
  <sheetFormatPr defaultRowHeight="15" x14ac:dyDescent="0.25"/>
  <cols>
    <col min="1" max="1" width="14.42578125" style="260" customWidth="1"/>
    <col min="2" max="4" width="12.140625" style="260" customWidth="1"/>
    <col min="5" max="5" width="10.7109375" style="260" customWidth="1"/>
    <col min="6" max="6" width="27.42578125" style="260" customWidth="1"/>
    <col min="7" max="7" width="9.140625" style="260"/>
    <col min="8" max="9" width="14.5703125" style="260" customWidth="1"/>
    <col min="10" max="16384" width="9.140625" style="260"/>
  </cols>
  <sheetData>
    <row r="1" spans="1:9" ht="31.5" customHeight="1" x14ac:dyDescent="0.25">
      <c r="A1" s="754" t="s">
        <v>374</v>
      </c>
      <c r="B1" s="754"/>
      <c r="C1" s="754"/>
      <c r="D1" s="754"/>
      <c r="E1" s="754"/>
      <c r="F1" s="754"/>
      <c r="H1" s="745" t="s">
        <v>375</v>
      </c>
      <c r="I1" s="745"/>
    </row>
    <row r="2" spans="1:9" ht="19.5" customHeight="1" x14ac:dyDescent="0.25">
      <c r="A2" s="754" t="s">
        <v>7</v>
      </c>
      <c r="B2" s="754" t="s">
        <v>47</v>
      </c>
      <c r="C2" s="754" t="s">
        <v>199</v>
      </c>
      <c r="D2" s="754"/>
      <c r="E2" s="755" t="s">
        <v>32</v>
      </c>
      <c r="F2" s="754" t="s">
        <v>23</v>
      </c>
      <c r="H2" s="754" t="s">
        <v>7</v>
      </c>
      <c r="I2" s="754" t="s">
        <v>47</v>
      </c>
    </row>
    <row r="3" spans="1:9" ht="19.5" customHeight="1" x14ac:dyDescent="0.25">
      <c r="A3" s="754"/>
      <c r="B3" s="754"/>
      <c r="C3" s="369" t="s">
        <v>5</v>
      </c>
      <c r="D3" s="369" t="s">
        <v>152</v>
      </c>
      <c r="E3" s="756"/>
      <c r="F3" s="754"/>
      <c r="H3" s="754"/>
      <c r="I3" s="754"/>
    </row>
    <row r="4" spans="1:9" x14ac:dyDescent="0.25">
      <c r="A4" s="262" t="s">
        <v>11</v>
      </c>
      <c r="B4" s="264">
        <v>1280899</v>
      </c>
      <c r="C4" s="264">
        <v>253522</v>
      </c>
      <c r="D4" s="264">
        <v>415277</v>
      </c>
      <c r="E4" s="221">
        <f>+B35+B43</f>
        <v>593300</v>
      </c>
      <c r="F4" s="235"/>
      <c r="H4" s="262" t="s">
        <v>11</v>
      </c>
      <c r="I4" s="264">
        <v>1321899</v>
      </c>
    </row>
    <row r="5" spans="1:9" x14ac:dyDescent="0.25">
      <c r="A5" s="262" t="s">
        <v>17</v>
      </c>
      <c r="B5" s="262">
        <v>69915</v>
      </c>
      <c r="C5" s="262">
        <v>69915</v>
      </c>
      <c r="D5" s="262"/>
      <c r="E5" s="221"/>
      <c r="F5" s="36"/>
      <c r="H5" s="262" t="s">
        <v>17</v>
      </c>
      <c r="I5" s="262">
        <v>54953</v>
      </c>
    </row>
    <row r="6" spans="1:9" x14ac:dyDescent="0.25">
      <c r="A6" s="262" t="s">
        <v>24</v>
      </c>
      <c r="B6" s="264">
        <v>48400</v>
      </c>
      <c r="C6" s="264">
        <v>48400</v>
      </c>
      <c r="D6" s="264"/>
      <c r="E6" s="221"/>
      <c r="F6" s="36"/>
      <c r="H6" s="262" t="s">
        <v>24</v>
      </c>
      <c r="I6" s="264">
        <v>48400</v>
      </c>
    </row>
    <row r="7" spans="1:9" x14ac:dyDescent="0.25">
      <c r="A7" s="262" t="s">
        <v>42</v>
      </c>
      <c r="B7" s="262">
        <v>214482</v>
      </c>
      <c r="C7" s="262">
        <v>214482</v>
      </c>
      <c r="D7" s="262"/>
      <c r="E7" s="221"/>
      <c r="F7" s="37"/>
      <c r="H7" s="262" t="s">
        <v>42</v>
      </c>
      <c r="I7" s="262">
        <v>101339</v>
      </c>
    </row>
    <row r="8" spans="1:9" x14ac:dyDescent="0.25">
      <c r="A8" s="262" t="s">
        <v>29</v>
      </c>
      <c r="B8" s="262">
        <v>20917</v>
      </c>
      <c r="C8" s="262">
        <v>20917</v>
      </c>
      <c r="D8" s="262"/>
      <c r="E8" s="221"/>
      <c r="F8" s="248"/>
      <c r="H8" s="262" t="s">
        <v>29</v>
      </c>
      <c r="I8" s="262">
        <v>52830</v>
      </c>
    </row>
    <row r="9" spans="1:9" x14ac:dyDescent="0.25">
      <c r="A9" s="262" t="s">
        <v>260</v>
      </c>
      <c r="B9" s="262">
        <v>16849</v>
      </c>
      <c r="C9" s="262"/>
      <c r="D9" s="262">
        <v>16849</v>
      </c>
      <c r="E9" s="236"/>
      <c r="F9" s="251"/>
      <c r="H9" s="262" t="s">
        <v>260</v>
      </c>
      <c r="I9" s="262">
        <v>4920</v>
      </c>
    </row>
    <row r="10" spans="1:9" x14ac:dyDescent="0.25">
      <c r="A10" s="262" t="s">
        <v>230</v>
      </c>
      <c r="B10" s="262"/>
      <c r="C10" s="262"/>
      <c r="D10" s="262"/>
      <c r="E10" s="222"/>
      <c r="F10" s="248"/>
      <c r="H10" s="262" t="s">
        <v>230</v>
      </c>
      <c r="I10" s="262"/>
    </row>
    <row r="11" spans="1:9" x14ac:dyDescent="0.25">
      <c r="A11" s="262" t="s">
        <v>332</v>
      </c>
      <c r="B11" s="262">
        <v>47822</v>
      </c>
      <c r="C11" s="262">
        <v>47822</v>
      </c>
      <c r="D11" s="262"/>
      <c r="E11" s="222"/>
      <c r="F11" s="248"/>
      <c r="H11" s="262" t="s">
        <v>332</v>
      </c>
      <c r="I11" s="262">
        <v>47822</v>
      </c>
    </row>
    <row r="12" spans="1:9" x14ac:dyDescent="0.25">
      <c r="A12" s="369" t="s">
        <v>12</v>
      </c>
      <c r="B12" s="250">
        <f>SUM(B4:B11)</f>
        <v>1699284</v>
      </c>
      <c r="C12" s="250">
        <f>SUM(C4:C11)</f>
        <v>655058</v>
      </c>
      <c r="D12" s="250">
        <f>SUM(D4:D10)</f>
        <v>432126</v>
      </c>
      <c r="E12" s="162">
        <f>SUM(E4:E11)</f>
        <v>593300</v>
      </c>
      <c r="F12" s="253"/>
      <c r="H12" s="369" t="s">
        <v>12</v>
      </c>
      <c r="I12" s="250">
        <f>SUM(I4:I11)</f>
        <v>1632163</v>
      </c>
    </row>
    <row r="15" spans="1:9" x14ac:dyDescent="0.25">
      <c r="A15" s="764" t="s">
        <v>198</v>
      </c>
      <c r="B15" s="764"/>
      <c r="C15" s="764"/>
      <c r="D15" s="764"/>
      <c r="E15" s="759" t="s">
        <v>289</v>
      </c>
    </row>
    <row r="16" spans="1:9" ht="13.5" customHeight="1" x14ac:dyDescent="0.25">
      <c r="A16" s="370" t="s">
        <v>168</v>
      </c>
      <c r="B16" s="370" t="s">
        <v>169</v>
      </c>
      <c r="C16" s="370" t="s">
        <v>172</v>
      </c>
      <c r="D16" s="370" t="s">
        <v>170</v>
      </c>
      <c r="E16" s="760"/>
    </row>
    <row r="17" spans="1:5" ht="13.5" customHeight="1" x14ac:dyDescent="0.25">
      <c r="A17" s="276" t="s">
        <v>356</v>
      </c>
      <c r="B17" s="274">
        <v>80000</v>
      </c>
      <c r="C17" s="275">
        <v>42457</v>
      </c>
      <c r="D17" s="274" t="s">
        <v>357</v>
      </c>
      <c r="E17" s="255"/>
    </row>
    <row r="18" spans="1:5" s="261" customFormat="1" ht="13.5" customHeight="1" x14ac:dyDescent="0.25">
      <c r="A18" s="276" t="s">
        <v>358</v>
      </c>
      <c r="B18" s="276">
        <v>30000</v>
      </c>
      <c r="C18" s="275">
        <v>42457</v>
      </c>
      <c r="D18" s="274" t="s">
        <v>359</v>
      </c>
      <c r="E18" s="255"/>
    </row>
    <row r="19" spans="1:5" x14ac:dyDescent="0.25">
      <c r="A19" s="276" t="s">
        <v>360</v>
      </c>
      <c r="B19" s="274">
        <v>17000</v>
      </c>
      <c r="C19" s="275">
        <v>42460</v>
      </c>
      <c r="D19" s="274" t="s">
        <v>361</v>
      </c>
      <c r="E19" s="255"/>
    </row>
    <row r="20" spans="1:5" x14ac:dyDescent="0.25">
      <c r="A20" s="276" t="s">
        <v>362</v>
      </c>
      <c r="B20" s="274">
        <v>68000</v>
      </c>
      <c r="C20" s="275">
        <v>42460</v>
      </c>
      <c r="D20" s="274" t="s">
        <v>363</v>
      </c>
      <c r="E20" s="255"/>
    </row>
    <row r="21" spans="1:5" x14ac:dyDescent="0.25">
      <c r="A21" s="276" t="s">
        <v>119</v>
      </c>
      <c r="B21" s="274">
        <v>95000</v>
      </c>
      <c r="C21" s="275">
        <v>42434</v>
      </c>
      <c r="D21" s="274"/>
      <c r="E21" s="255"/>
    </row>
    <row r="22" spans="1:5" x14ac:dyDescent="0.25">
      <c r="A22" s="276" t="s">
        <v>119</v>
      </c>
      <c r="B22" s="274">
        <v>16500</v>
      </c>
      <c r="C22" s="275">
        <v>42434</v>
      </c>
      <c r="D22" s="274"/>
      <c r="E22" s="255"/>
    </row>
    <row r="23" spans="1:5" x14ac:dyDescent="0.25">
      <c r="A23" s="276" t="s">
        <v>364</v>
      </c>
      <c r="B23" s="274">
        <v>44000</v>
      </c>
      <c r="C23" s="275">
        <v>42441</v>
      </c>
      <c r="D23" s="274"/>
      <c r="E23" s="255"/>
    </row>
    <row r="24" spans="1:5" x14ac:dyDescent="0.25">
      <c r="A24" s="276" t="s">
        <v>138</v>
      </c>
      <c r="B24" s="274">
        <v>32500</v>
      </c>
      <c r="C24" s="275">
        <v>42448</v>
      </c>
      <c r="D24" s="274"/>
      <c r="E24" s="255"/>
    </row>
    <row r="25" spans="1:5" x14ac:dyDescent="0.25">
      <c r="A25" s="358" t="s">
        <v>138</v>
      </c>
      <c r="B25" s="358">
        <v>14000</v>
      </c>
      <c r="C25" s="394">
        <v>42458</v>
      </c>
      <c r="D25" s="274"/>
      <c r="E25" s="255"/>
    </row>
    <row r="26" spans="1:5" x14ac:dyDescent="0.25">
      <c r="A26" s="276" t="s">
        <v>364</v>
      </c>
      <c r="B26" s="274">
        <v>24000</v>
      </c>
      <c r="C26" s="275">
        <v>42448</v>
      </c>
      <c r="D26" s="274"/>
      <c r="E26" s="255"/>
    </row>
    <row r="27" spans="1:5" x14ac:dyDescent="0.25">
      <c r="A27" s="389" t="s">
        <v>364</v>
      </c>
      <c r="B27" s="389">
        <v>36000</v>
      </c>
      <c r="C27" s="390">
        <v>42451</v>
      </c>
      <c r="D27" s="274"/>
      <c r="E27" s="255"/>
    </row>
    <row r="28" spans="1:5" x14ac:dyDescent="0.25">
      <c r="A28" s="276" t="s">
        <v>119</v>
      </c>
      <c r="B28" s="274">
        <v>40000</v>
      </c>
      <c r="C28" s="275">
        <v>42460</v>
      </c>
      <c r="D28" s="274" t="s">
        <v>365</v>
      </c>
      <c r="E28" s="255"/>
    </row>
    <row r="29" spans="1:5" x14ac:dyDescent="0.25">
      <c r="A29" s="276" t="s">
        <v>366</v>
      </c>
      <c r="B29" s="274">
        <v>58000</v>
      </c>
      <c r="C29" s="275">
        <v>42436</v>
      </c>
      <c r="D29" s="274" t="s">
        <v>367</v>
      </c>
      <c r="E29" s="255"/>
    </row>
    <row r="30" spans="1:5" x14ac:dyDescent="0.25">
      <c r="A30" s="385" t="s">
        <v>368</v>
      </c>
      <c r="B30" s="385">
        <v>10000</v>
      </c>
      <c r="C30" s="386">
        <v>42436</v>
      </c>
      <c r="D30" s="274"/>
      <c r="E30" s="255"/>
    </row>
    <row r="31" spans="1:5" x14ac:dyDescent="0.25">
      <c r="A31" s="276" t="s">
        <v>369</v>
      </c>
      <c r="B31" s="274">
        <v>6000</v>
      </c>
      <c r="C31" s="275">
        <v>42444</v>
      </c>
      <c r="D31" s="274"/>
      <c r="E31" s="255"/>
    </row>
    <row r="32" spans="1:5" x14ac:dyDescent="0.25">
      <c r="A32" s="276" t="s">
        <v>370</v>
      </c>
      <c r="B32" s="274">
        <v>5000</v>
      </c>
      <c r="C32" s="275">
        <v>42450</v>
      </c>
      <c r="D32" s="274" t="s">
        <v>371</v>
      </c>
      <c r="E32" s="255"/>
    </row>
    <row r="33" spans="1:6" x14ac:dyDescent="0.25">
      <c r="A33" s="276" t="s">
        <v>372</v>
      </c>
      <c r="B33" s="274">
        <v>13300</v>
      </c>
      <c r="C33" s="275">
        <v>42450</v>
      </c>
      <c r="D33" s="274" t="s">
        <v>373</v>
      </c>
      <c r="E33" s="255"/>
    </row>
    <row r="34" spans="1:6" x14ac:dyDescent="0.25">
      <c r="A34" s="276" t="s">
        <v>26</v>
      </c>
      <c r="B34" s="274">
        <v>4000</v>
      </c>
      <c r="C34" s="275">
        <v>42434</v>
      </c>
      <c r="D34" s="274"/>
      <c r="E34" s="255"/>
    </row>
    <row r="35" spans="1:6" x14ac:dyDescent="0.25">
      <c r="A35" s="370" t="s">
        <v>171</v>
      </c>
      <c r="B35" s="370">
        <f>SUM(B17:B34)</f>
        <v>593300</v>
      </c>
      <c r="C35" s="274"/>
      <c r="D35" s="274"/>
      <c r="E35" s="279"/>
    </row>
    <row r="37" spans="1:6" x14ac:dyDescent="0.25">
      <c r="A37" s="758"/>
      <c r="B37" s="758"/>
      <c r="C37" s="758"/>
      <c r="D37" s="758"/>
    </row>
    <row r="38" spans="1:6" ht="23.25" customHeight="1" x14ac:dyDescent="0.25">
      <c r="A38" s="758"/>
      <c r="B38" s="758"/>
      <c r="C38" s="758"/>
      <c r="D38" s="758"/>
      <c r="E38" s="312"/>
      <c r="F38" s="312"/>
    </row>
    <row r="39" spans="1:6" ht="19.5" customHeight="1" x14ac:dyDescent="0.25">
      <c r="A39" s="371"/>
      <c r="B39" s="371"/>
      <c r="C39" s="371"/>
      <c r="D39" s="371"/>
      <c r="E39" s="313"/>
      <c r="F39" s="314"/>
    </row>
    <row r="40" spans="1:6" ht="19.5" customHeight="1" x14ac:dyDescent="0.25">
      <c r="A40" s="322"/>
      <c r="B40" s="303"/>
      <c r="C40" s="304"/>
      <c r="D40" s="316"/>
      <c r="E40" s="313"/>
      <c r="F40" s="314"/>
    </row>
    <row r="41" spans="1:6" x14ac:dyDescent="0.25">
      <c r="A41" s="322"/>
      <c r="B41" s="303"/>
      <c r="C41" s="304"/>
      <c r="D41" s="316"/>
      <c r="E41" s="320"/>
      <c r="F41" s="3"/>
    </row>
    <row r="42" spans="1:6" x14ac:dyDescent="0.25">
      <c r="A42" s="303"/>
      <c r="B42" s="303"/>
      <c r="C42" s="304"/>
      <c r="D42" s="303"/>
      <c r="E42" s="55"/>
      <c r="F42" s="3"/>
    </row>
    <row r="43" spans="1:6" x14ac:dyDescent="0.25">
      <c r="A43" s="303"/>
      <c r="B43" s="372"/>
      <c r="C43" s="304"/>
      <c r="D43" s="303"/>
      <c r="E43" s="79"/>
      <c r="F43" s="3"/>
    </row>
    <row r="44" spans="1:6" x14ac:dyDescent="0.25">
      <c r="A44" s="3"/>
      <c r="B44" s="3"/>
      <c r="C44" s="3"/>
      <c r="D44" s="3"/>
    </row>
    <row r="45" spans="1:6" x14ac:dyDescent="0.25">
      <c r="A45" s="3"/>
      <c r="B45" s="3"/>
      <c r="C45" s="3"/>
      <c r="D45" s="3"/>
    </row>
    <row r="46" spans="1:6" x14ac:dyDescent="0.25">
      <c r="A46" s="3"/>
      <c r="B46" s="3"/>
      <c r="C46" s="3"/>
      <c r="D46" s="3"/>
    </row>
    <row r="47" spans="1:6" x14ac:dyDescent="0.25">
      <c r="B47" s="3"/>
    </row>
    <row r="48" spans="1:6" x14ac:dyDescent="0.25">
      <c r="B48" s="238"/>
    </row>
  </sheetData>
  <mergeCells count="13">
    <mergeCell ref="H1:I1"/>
    <mergeCell ref="A2:A3"/>
    <mergeCell ref="B2:B3"/>
    <mergeCell ref="C2:D2"/>
    <mergeCell ref="E2:E3"/>
    <mergeCell ref="F2:F3"/>
    <mergeCell ref="H2:H3"/>
    <mergeCell ref="I2:I3"/>
    <mergeCell ref="A15:D15"/>
    <mergeCell ref="E15:E16"/>
    <mergeCell ref="A37:D37"/>
    <mergeCell ref="A38:D38"/>
    <mergeCell ref="A1:F1"/>
  </mergeCells>
  <pageMargins left="0.7" right="0.7" top="0.5" bottom="0" header="0.3" footer="0"/>
  <pageSetup paperSize="9" scale="80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topLeftCell="A15" zoomScaleNormal="100" workbookViewId="0">
      <selection activeCell="A31" sqref="A31"/>
    </sheetView>
  </sheetViews>
  <sheetFormatPr defaultRowHeight="15" x14ac:dyDescent="0.25"/>
  <cols>
    <col min="1" max="1" width="14.42578125" style="260" customWidth="1"/>
    <col min="2" max="4" width="12.140625" style="260" customWidth="1"/>
    <col min="5" max="5" width="10.7109375" style="260" customWidth="1"/>
    <col min="6" max="6" width="27.42578125" style="260" customWidth="1"/>
    <col min="7" max="7" width="9.140625" style="260"/>
    <col min="8" max="9" width="14.5703125" style="260" customWidth="1"/>
    <col min="10" max="16384" width="9.140625" style="260"/>
  </cols>
  <sheetData>
    <row r="1" spans="1:9" ht="31.5" customHeight="1" x14ac:dyDescent="0.25">
      <c r="A1" s="754" t="s">
        <v>306</v>
      </c>
      <c r="B1" s="754"/>
      <c r="C1" s="754"/>
      <c r="D1" s="754"/>
      <c r="E1" s="754"/>
      <c r="F1" s="754"/>
      <c r="H1" s="745" t="s">
        <v>307</v>
      </c>
      <c r="I1" s="745"/>
    </row>
    <row r="2" spans="1:9" ht="19.5" customHeight="1" x14ac:dyDescent="0.25">
      <c r="A2" s="754" t="s">
        <v>7</v>
      </c>
      <c r="B2" s="754" t="s">
        <v>47</v>
      </c>
      <c r="C2" s="754" t="s">
        <v>199</v>
      </c>
      <c r="D2" s="754"/>
      <c r="E2" s="755" t="s">
        <v>32</v>
      </c>
      <c r="F2" s="754" t="s">
        <v>23</v>
      </c>
      <c r="H2" s="754" t="s">
        <v>7</v>
      </c>
      <c r="I2" s="754" t="s">
        <v>47</v>
      </c>
    </row>
    <row r="3" spans="1:9" ht="19.5" customHeight="1" x14ac:dyDescent="0.25">
      <c r="A3" s="754"/>
      <c r="B3" s="754"/>
      <c r="C3" s="364" t="s">
        <v>5</v>
      </c>
      <c r="D3" s="364" t="s">
        <v>152</v>
      </c>
      <c r="E3" s="756"/>
      <c r="F3" s="754"/>
      <c r="H3" s="754"/>
      <c r="I3" s="754"/>
    </row>
    <row r="4" spans="1:9" x14ac:dyDescent="0.25">
      <c r="A4" s="262" t="s">
        <v>11</v>
      </c>
      <c r="B4" s="264">
        <v>1140067</v>
      </c>
      <c r="C4" s="264">
        <v>160608</v>
      </c>
      <c r="D4" s="264">
        <v>344921</v>
      </c>
      <c r="E4" s="221">
        <f>+B45+B53</f>
        <v>669814</v>
      </c>
      <c r="F4" s="235"/>
      <c r="H4" s="262" t="s">
        <v>11</v>
      </c>
      <c r="I4" s="264">
        <v>1176067</v>
      </c>
    </row>
    <row r="5" spans="1:9" x14ac:dyDescent="0.25">
      <c r="A5" s="262" t="s">
        <v>17</v>
      </c>
      <c r="B5" s="262">
        <v>71917</v>
      </c>
      <c r="C5" s="262">
        <v>54050</v>
      </c>
      <c r="D5" s="262">
        <v>17867</v>
      </c>
      <c r="E5" s="221"/>
      <c r="F5" s="36"/>
      <c r="H5" s="262" t="s">
        <v>17</v>
      </c>
      <c r="I5" s="262">
        <v>65357</v>
      </c>
    </row>
    <row r="6" spans="1:9" x14ac:dyDescent="0.25">
      <c r="A6" s="262" t="s">
        <v>24</v>
      </c>
      <c r="B6" s="264">
        <v>244245</v>
      </c>
      <c r="C6" s="264">
        <v>198969</v>
      </c>
      <c r="D6" s="264"/>
      <c r="E6" s="221"/>
      <c r="F6" s="36"/>
      <c r="H6" s="262" t="s">
        <v>24</v>
      </c>
      <c r="I6" s="264">
        <v>244245</v>
      </c>
    </row>
    <row r="7" spans="1:9" x14ac:dyDescent="0.25">
      <c r="A7" s="262" t="s">
        <v>42</v>
      </c>
      <c r="B7" s="262">
        <v>128424</v>
      </c>
      <c r="C7" s="262">
        <v>128424</v>
      </c>
      <c r="D7" s="262"/>
      <c r="E7" s="221"/>
      <c r="F7" s="37"/>
      <c r="H7" s="262" t="s">
        <v>42</v>
      </c>
      <c r="I7" s="262">
        <v>111969</v>
      </c>
    </row>
    <row r="8" spans="1:9" x14ac:dyDescent="0.25">
      <c r="A8" s="262" t="s">
        <v>29</v>
      </c>
      <c r="B8" s="262">
        <v>9160</v>
      </c>
      <c r="C8" s="262">
        <v>9160</v>
      </c>
      <c r="D8" s="262"/>
      <c r="E8" s="221"/>
      <c r="F8" s="248"/>
      <c r="H8" s="262" t="s">
        <v>29</v>
      </c>
      <c r="I8" s="262">
        <v>9160</v>
      </c>
    </row>
    <row r="9" spans="1:9" x14ac:dyDescent="0.25">
      <c r="A9" s="262" t="s">
        <v>260</v>
      </c>
      <c r="B9" s="262">
        <v>15314</v>
      </c>
      <c r="C9" s="262"/>
      <c r="D9" s="262">
        <v>15314</v>
      </c>
      <c r="E9" s="236"/>
      <c r="F9" s="251"/>
      <c r="H9" s="262" t="s">
        <v>260</v>
      </c>
      <c r="I9" s="262">
        <v>15314</v>
      </c>
    </row>
    <row r="10" spans="1:9" x14ac:dyDescent="0.25">
      <c r="A10" s="262" t="s">
        <v>230</v>
      </c>
      <c r="B10" s="262"/>
      <c r="C10" s="262"/>
      <c r="D10" s="262"/>
      <c r="E10" s="222"/>
      <c r="F10" s="248"/>
      <c r="H10" s="262" t="s">
        <v>230</v>
      </c>
      <c r="I10" s="262"/>
    </row>
    <row r="11" spans="1:9" x14ac:dyDescent="0.25">
      <c r="A11" s="262" t="s">
        <v>332</v>
      </c>
      <c r="B11" s="262">
        <v>2210</v>
      </c>
      <c r="C11" s="262">
        <v>2210</v>
      </c>
      <c r="D11" s="262"/>
      <c r="E11" s="222"/>
      <c r="F11" s="248"/>
      <c r="H11" s="262" t="s">
        <v>332</v>
      </c>
      <c r="I11" s="262">
        <v>2210</v>
      </c>
    </row>
    <row r="12" spans="1:9" x14ac:dyDescent="0.25">
      <c r="A12" s="364" t="s">
        <v>12</v>
      </c>
      <c r="B12" s="250">
        <f>SUM(B4:B11)</f>
        <v>1611337</v>
      </c>
      <c r="C12" s="250">
        <f>SUM(C4:C11)</f>
        <v>553421</v>
      </c>
      <c r="D12" s="250">
        <f>SUM(D4:D10)</f>
        <v>378102</v>
      </c>
      <c r="E12" s="162">
        <f>SUM(E4:E10)</f>
        <v>669814</v>
      </c>
      <c r="F12" s="253"/>
      <c r="H12" s="364" t="s">
        <v>12</v>
      </c>
      <c r="I12" s="250">
        <f>SUM(I4:I11)</f>
        <v>1624322</v>
      </c>
    </row>
    <row r="15" spans="1:9" x14ac:dyDescent="0.25">
      <c r="A15" s="764" t="s">
        <v>198</v>
      </c>
      <c r="B15" s="764"/>
      <c r="C15" s="764"/>
      <c r="D15" s="764"/>
      <c r="E15" s="759" t="s">
        <v>289</v>
      </c>
    </row>
    <row r="16" spans="1:9" ht="13.5" customHeight="1" x14ac:dyDescent="0.25">
      <c r="A16" s="363" t="s">
        <v>168</v>
      </c>
      <c r="B16" s="363" t="s">
        <v>169</v>
      </c>
      <c r="C16" s="363" t="s">
        <v>172</v>
      </c>
      <c r="D16" s="363" t="s">
        <v>170</v>
      </c>
      <c r="E16" s="760"/>
    </row>
    <row r="17" spans="1:5" ht="13.5" customHeight="1" x14ac:dyDescent="0.25">
      <c r="A17" s="276" t="s">
        <v>313</v>
      </c>
      <c r="B17" s="274">
        <v>18000</v>
      </c>
      <c r="C17" s="275">
        <v>42045</v>
      </c>
      <c r="D17" s="274"/>
      <c r="E17" s="255" t="s">
        <v>152</v>
      </c>
    </row>
    <row r="18" spans="1:5" s="261" customFormat="1" ht="13.5" customHeight="1" x14ac:dyDescent="0.25">
      <c r="A18" s="276" t="s">
        <v>286</v>
      </c>
      <c r="B18" s="276">
        <v>20000</v>
      </c>
      <c r="C18" s="275">
        <v>42045</v>
      </c>
      <c r="D18" s="276"/>
      <c r="E18" s="255" t="s">
        <v>152</v>
      </c>
    </row>
    <row r="19" spans="1:5" x14ac:dyDescent="0.25">
      <c r="A19" s="276" t="s">
        <v>314</v>
      </c>
      <c r="B19" s="274" t="s">
        <v>315</v>
      </c>
      <c r="C19" s="275">
        <v>42057</v>
      </c>
      <c r="D19" s="274"/>
      <c r="E19" s="255" t="s">
        <v>152</v>
      </c>
    </row>
    <row r="20" spans="1:5" x14ac:dyDescent="0.25">
      <c r="A20" s="276" t="s">
        <v>316</v>
      </c>
      <c r="B20" s="274">
        <v>16666</v>
      </c>
      <c r="C20" s="275">
        <v>42040</v>
      </c>
      <c r="D20" s="274"/>
      <c r="E20" s="255" t="s">
        <v>229</v>
      </c>
    </row>
    <row r="21" spans="1:5" x14ac:dyDescent="0.25">
      <c r="A21" s="276" t="s">
        <v>316</v>
      </c>
      <c r="B21" s="274">
        <v>10000</v>
      </c>
      <c r="C21" s="275">
        <v>42425</v>
      </c>
      <c r="D21" s="274" t="s">
        <v>346</v>
      </c>
      <c r="E21" s="255"/>
    </row>
    <row r="22" spans="1:5" x14ac:dyDescent="0.25">
      <c r="A22" s="274" t="s">
        <v>317</v>
      </c>
      <c r="B22" s="274">
        <v>28000</v>
      </c>
      <c r="C22" s="275">
        <v>42048</v>
      </c>
      <c r="D22" s="274"/>
      <c r="E22" s="255" t="s">
        <v>229</v>
      </c>
    </row>
    <row r="23" spans="1:5" x14ac:dyDescent="0.25">
      <c r="A23" s="274" t="s">
        <v>279</v>
      </c>
      <c r="B23" s="274">
        <v>25000</v>
      </c>
      <c r="C23" s="275">
        <v>42037</v>
      </c>
      <c r="D23" s="274"/>
      <c r="E23" s="255" t="s">
        <v>152</v>
      </c>
    </row>
    <row r="24" spans="1:5" x14ac:dyDescent="0.25">
      <c r="A24" s="274" t="s">
        <v>318</v>
      </c>
      <c r="B24" s="274" t="s">
        <v>329</v>
      </c>
      <c r="C24" s="275">
        <v>42043</v>
      </c>
      <c r="D24" s="274"/>
      <c r="E24" s="255" t="s">
        <v>152</v>
      </c>
    </row>
    <row r="25" spans="1:5" x14ac:dyDescent="0.25">
      <c r="A25" s="274" t="s">
        <v>119</v>
      </c>
      <c r="B25" s="274">
        <v>77000</v>
      </c>
      <c r="C25" s="275">
        <v>42037</v>
      </c>
      <c r="D25" s="274"/>
      <c r="E25" s="255" t="s">
        <v>229</v>
      </c>
    </row>
    <row r="26" spans="1:5" x14ac:dyDescent="0.25">
      <c r="A26" s="274" t="s">
        <v>119</v>
      </c>
      <c r="B26" s="274" t="s">
        <v>330</v>
      </c>
      <c r="C26" s="275">
        <v>42053</v>
      </c>
      <c r="D26" s="274"/>
      <c r="E26" s="255" t="s">
        <v>152</v>
      </c>
    </row>
    <row r="27" spans="1:5" x14ac:dyDescent="0.25">
      <c r="A27" s="391" t="s">
        <v>138</v>
      </c>
      <c r="B27" s="391">
        <v>22000</v>
      </c>
      <c r="C27" s="392">
        <v>42060</v>
      </c>
      <c r="D27" s="391" t="s">
        <v>376</v>
      </c>
      <c r="E27" s="393" t="s">
        <v>229</v>
      </c>
    </row>
    <row r="28" spans="1:5" x14ac:dyDescent="0.25">
      <c r="A28" s="274" t="s">
        <v>318</v>
      </c>
      <c r="B28" s="274" t="s">
        <v>319</v>
      </c>
      <c r="C28" s="275">
        <v>42058</v>
      </c>
      <c r="D28" s="274"/>
      <c r="E28" s="255" t="s">
        <v>229</v>
      </c>
    </row>
    <row r="29" spans="1:5" x14ac:dyDescent="0.25">
      <c r="A29" s="274" t="s">
        <v>320</v>
      </c>
      <c r="B29" s="274" t="s">
        <v>321</v>
      </c>
      <c r="C29" s="275">
        <v>42063</v>
      </c>
      <c r="D29" s="274"/>
      <c r="E29" s="255" t="s">
        <v>152</v>
      </c>
    </row>
    <row r="30" spans="1:5" x14ac:dyDescent="0.25">
      <c r="A30" s="274" t="s">
        <v>322</v>
      </c>
      <c r="B30" s="274" t="s">
        <v>323</v>
      </c>
      <c r="C30" s="275">
        <v>42063</v>
      </c>
      <c r="D30" s="274"/>
      <c r="E30" s="255" t="s">
        <v>152</v>
      </c>
    </row>
    <row r="31" spans="1:5" x14ac:dyDescent="0.25">
      <c r="A31" s="274" t="s">
        <v>324</v>
      </c>
      <c r="B31" s="274">
        <v>52700</v>
      </c>
      <c r="C31" s="275">
        <v>42038</v>
      </c>
      <c r="D31" s="274"/>
      <c r="E31" s="255" t="s">
        <v>229</v>
      </c>
    </row>
    <row r="32" spans="1:5" x14ac:dyDescent="0.25">
      <c r="A32" s="274" t="s">
        <v>325</v>
      </c>
      <c r="B32" s="274">
        <v>7054</v>
      </c>
      <c r="C32" s="275">
        <v>42043</v>
      </c>
      <c r="D32" s="274"/>
      <c r="E32" s="255" t="s">
        <v>152</v>
      </c>
    </row>
    <row r="33" spans="1:6" x14ac:dyDescent="0.25">
      <c r="A33" s="274" t="s">
        <v>399</v>
      </c>
      <c r="B33" s="274">
        <v>8000</v>
      </c>
      <c r="C33" s="275">
        <v>42423</v>
      </c>
      <c r="D33" s="274" t="s">
        <v>347</v>
      </c>
      <c r="E33" s="255" t="s">
        <v>229</v>
      </c>
    </row>
    <row r="34" spans="1:6" x14ac:dyDescent="0.25">
      <c r="A34" s="274" t="s">
        <v>399</v>
      </c>
      <c r="B34" s="274">
        <v>10000</v>
      </c>
      <c r="C34" s="275">
        <v>42428</v>
      </c>
      <c r="D34" s="274"/>
      <c r="E34" s="255"/>
    </row>
    <row r="35" spans="1:6" x14ac:dyDescent="0.25">
      <c r="A35" s="274" t="s">
        <v>325</v>
      </c>
      <c r="B35" s="274">
        <v>2000</v>
      </c>
      <c r="C35" s="275">
        <v>42053</v>
      </c>
      <c r="D35" s="274"/>
      <c r="E35" s="255"/>
    </row>
    <row r="36" spans="1:6" x14ac:dyDescent="0.25">
      <c r="A36" s="274" t="s">
        <v>326</v>
      </c>
      <c r="B36" s="274">
        <v>14000</v>
      </c>
      <c r="C36" s="275">
        <v>42053</v>
      </c>
      <c r="D36" s="274">
        <v>34000</v>
      </c>
      <c r="E36" s="255" t="s">
        <v>152</v>
      </c>
    </row>
    <row r="37" spans="1:6" x14ac:dyDescent="0.25">
      <c r="A37" s="274" t="s">
        <v>271</v>
      </c>
      <c r="B37" s="274">
        <v>13000</v>
      </c>
      <c r="C37" s="275">
        <v>42050</v>
      </c>
      <c r="D37" s="274"/>
      <c r="E37" s="255" t="s">
        <v>229</v>
      </c>
    </row>
    <row r="38" spans="1:6" x14ac:dyDescent="0.25">
      <c r="A38" s="274" t="s">
        <v>26</v>
      </c>
      <c r="B38" s="274">
        <v>4000</v>
      </c>
      <c r="C38" s="275">
        <v>42050</v>
      </c>
      <c r="D38" s="274"/>
      <c r="E38" s="255" t="s">
        <v>229</v>
      </c>
    </row>
    <row r="39" spans="1:6" x14ac:dyDescent="0.25">
      <c r="A39" s="274" t="s">
        <v>272</v>
      </c>
      <c r="B39" s="274">
        <v>4000</v>
      </c>
      <c r="C39" s="275">
        <v>42055</v>
      </c>
      <c r="D39" s="274"/>
      <c r="E39" s="255" t="s">
        <v>229</v>
      </c>
    </row>
    <row r="40" spans="1:6" x14ac:dyDescent="0.25">
      <c r="A40" s="274" t="s">
        <v>280</v>
      </c>
      <c r="B40" s="274">
        <v>20000</v>
      </c>
      <c r="C40" s="275">
        <v>42048</v>
      </c>
      <c r="D40" s="274"/>
      <c r="E40" s="255" t="s">
        <v>152</v>
      </c>
    </row>
    <row r="41" spans="1:6" x14ac:dyDescent="0.25">
      <c r="A41" s="274" t="s">
        <v>280</v>
      </c>
      <c r="B41" s="274">
        <v>28000</v>
      </c>
      <c r="C41" s="275">
        <v>42061</v>
      </c>
      <c r="D41" s="274"/>
      <c r="E41" s="255" t="s">
        <v>229</v>
      </c>
    </row>
    <row r="42" spans="1:6" x14ac:dyDescent="0.25">
      <c r="A42" s="274" t="s">
        <v>327</v>
      </c>
      <c r="B42" s="274">
        <v>2000</v>
      </c>
      <c r="C42" s="275">
        <v>42061</v>
      </c>
      <c r="D42" s="274" t="s">
        <v>333</v>
      </c>
      <c r="E42" s="255"/>
    </row>
    <row r="43" spans="1:6" x14ac:dyDescent="0.25">
      <c r="A43" s="274" t="s">
        <v>328</v>
      </c>
      <c r="B43" s="274">
        <v>64000</v>
      </c>
      <c r="C43" s="275">
        <v>42061</v>
      </c>
      <c r="D43" s="274"/>
      <c r="E43" s="255" t="s">
        <v>152</v>
      </c>
    </row>
    <row r="44" spans="1:6" x14ac:dyDescent="0.25">
      <c r="A44" s="274"/>
      <c r="B44" s="274"/>
      <c r="C44" s="275"/>
      <c r="D44" s="274"/>
      <c r="E44" s="279"/>
    </row>
    <row r="45" spans="1:6" x14ac:dyDescent="0.25">
      <c r="A45" s="363" t="s">
        <v>171</v>
      </c>
      <c r="B45" s="363">
        <v>624538</v>
      </c>
      <c r="C45" s="274"/>
      <c r="D45" s="274"/>
      <c r="E45" s="279"/>
    </row>
    <row r="47" spans="1:6" x14ac:dyDescent="0.25">
      <c r="A47" s="758"/>
      <c r="B47" s="758"/>
      <c r="C47" s="758"/>
      <c r="D47" s="758"/>
    </row>
    <row r="48" spans="1:6" ht="23.25" customHeight="1" x14ac:dyDescent="0.25">
      <c r="A48" s="764" t="s">
        <v>237</v>
      </c>
      <c r="B48" s="764"/>
      <c r="C48" s="764"/>
      <c r="D48" s="764"/>
      <c r="E48" s="312"/>
      <c r="F48" s="312"/>
    </row>
    <row r="49" spans="1:6" ht="19.5" customHeight="1" x14ac:dyDescent="0.25">
      <c r="A49" s="363" t="s">
        <v>168</v>
      </c>
      <c r="B49" s="363" t="s">
        <v>169</v>
      </c>
      <c r="C49" s="363" t="s">
        <v>172</v>
      </c>
      <c r="D49" s="363" t="s">
        <v>170</v>
      </c>
      <c r="E49" s="313"/>
      <c r="F49" s="314"/>
    </row>
    <row r="50" spans="1:6" ht="19.5" customHeight="1" x14ac:dyDescent="0.25">
      <c r="A50" s="276">
        <v>76195</v>
      </c>
      <c r="B50" s="274">
        <v>25156</v>
      </c>
      <c r="C50" s="275">
        <v>42041</v>
      </c>
      <c r="D50" s="255" t="s">
        <v>229</v>
      </c>
      <c r="E50" s="313"/>
      <c r="F50" s="314"/>
    </row>
    <row r="51" spans="1:6" x14ac:dyDescent="0.25">
      <c r="A51" s="276">
        <v>76510</v>
      </c>
      <c r="B51" s="274">
        <v>20120</v>
      </c>
      <c r="C51" s="275">
        <v>42050</v>
      </c>
      <c r="D51" s="255" t="s">
        <v>229</v>
      </c>
      <c r="E51" s="320"/>
      <c r="F51" s="3"/>
    </row>
    <row r="52" spans="1:6" x14ac:dyDescent="0.25">
      <c r="A52" s="274"/>
      <c r="B52" s="274"/>
      <c r="C52" s="275"/>
      <c r="D52" s="274"/>
      <c r="E52" s="55"/>
      <c r="F52" s="3"/>
    </row>
    <row r="53" spans="1:6" x14ac:dyDescent="0.25">
      <c r="A53" s="274" t="s">
        <v>12</v>
      </c>
      <c r="B53" s="321">
        <f>SUM(B50:B52)</f>
        <v>45276</v>
      </c>
      <c r="C53" s="275"/>
      <c r="D53" s="274"/>
      <c r="E53" s="79"/>
      <c r="F53" s="3"/>
    </row>
    <row r="54" spans="1:6" x14ac:dyDescent="0.25">
      <c r="A54" s="3"/>
      <c r="B54" s="3"/>
      <c r="C54" s="3"/>
      <c r="D54" s="3"/>
    </row>
    <row r="55" spans="1:6" x14ac:dyDescent="0.25">
      <c r="A55" s="3"/>
      <c r="B55" s="3"/>
      <c r="C55" s="3"/>
      <c r="D55" s="3"/>
    </row>
    <row r="56" spans="1:6" x14ac:dyDescent="0.25">
      <c r="A56" s="3"/>
      <c r="B56" s="3"/>
      <c r="C56" s="3"/>
      <c r="D56" s="3"/>
    </row>
    <row r="57" spans="1:6" x14ac:dyDescent="0.25">
      <c r="B57" s="3"/>
    </row>
    <row r="58" spans="1:6" x14ac:dyDescent="0.25">
      <c r="B58" s="238"/>
    </row>
  </sheetData>
  <mergeCells count="13">
    <mergeCell ref="A15:D15"/>
    <mergeCell ref="E15:E16"/>
    <mergeCell ref="A47:D47"/>
    <mergeCell ref="A48:D48"/>
    <mergeCell ref="A1:F1"/>
    <mergeCell ref="H1:I1"/>
    <mergeCell ref="A2:A3"/>
    <mergeCell ref="B2:B3"/>
    <mergeCell ref="C2:D2"/>
    <mergeCell ref="E2:E3"/>
    <mergeCell ref="F2:F3"/>
    <mergeCell ref="H2:H3"/>
    <mergeCell ref="I2:I3"/>
  </mergeCells>
  <pageMargins left="0.7" right="0.7" top="0.5" bottom="0" header="0.3" footer="0"/>
  <pageSetup paperSize="9" scale="61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opLeftCell="A9" zoomScaleNormal="100" workbookViewId="0">
      <selection activeCell="B18" sqref="B18"/>
    </sheetView>
  </sheetViews>
  <sheetFormatPr defaultRowHeight="15" x14ac:dyDescent="0.25"/>
  <cols>
    <col min="1" max="1" width="14.42578125" style="260" customWidth="1"/>
    <col min="2" max="4" width="12.140625" style="260" customWidth="1"/>
    <col min="5" max="5" width="10.7109375" style="260" customWidth="1"/>
    <col min="6" max="6" width="27.42578125" style="260" customWidth="1"/>
    <col min="7" max="7" width="9.140625" style="260"/>
    <col min="8" max="9" width="14.5703125" style="260" customWidth="1"/>
    <col min="10" max="16384" width="9.140625" style="260"/>
  </cols>
  <sheetData>
    <row r="1" spans="1:9" ht="31.5" customHeight="1" x14ac:dyDescent="0.25">
      <c r="A1" s="754" t="s">
        <v>290</v>
      </c>
      <c r="B1" s="754"/>
      <c r="C1" s="754"/>
      <c r="D1" s="754"/>
      <c r="E1" s="754"/>
      <c r="F1" s="754"/>
      <c r="H1" s="745" t="s">
        <v>291</v>
      </c>
      <c r="I1" s="745"/>
    </row>
    <row r="2" spans="1:9" ht="19.5" customHeight="1" x14ac:dyDescent="0.25">
      <c r="A2" s="754" t="s">
        <v>7</v>
      </c>
      <c r="B2" s="754" t="s">
        <v>47</v>
      </c>
      <c r="C2" s="754" t="s">
        <v>199</v>
      </c>
      <c r="D2" s="754"/>
      <c r="E2" s="755" t="s">
        <v>32</v>
      </c>
      <c r="F2" s="754" t="s">
        <v>23</v>
      </c>
      <c r="H2" s="754" t="s">
        <v>7</v>
      </c>
      <c r="I2" s="754" t="s">
        <v>47</v>
      </c>
    </row>
    <row r="3" spans="1:9" ht="19.5" customHeight="1" x14ac:dyDescent="0.25">
      <c r="A3" s="754"/>
      <c r="B3" s="754"/>
      <c r="C3" s="355" t="s">
        <v>5</v>
      </c>
      <c r="D3" s="355" t="s">
        <v>152</v>
      </c>
      <c r="E3" s="756"/>
      <c r="F3" s="754"/>
      <c r="H3" s="754"/>
      <c r="I3" s="754"/>
    </row>
    <row r="4" spans="1:9" x14ac:dyDescent="0.25">
      <c r="A4" s="262" t="s">
        <v>11</v>
      </c>
      <c r="B4" s="264">
        <v>863216</v>
      </c>
      <c r="C4" s="264">
        <v>160288</v>
      </c>
      <c r="D4" s="264">
        <v>422828</v>
      </c>
      <c r="E4" s="221">
        <f>+B23</f>
        <v>263100</v>
      </c>
      <c r="F4" s="235"/>
      <c r="H4" s="262" t="s">
        <v>11</v>
      </c>
      <c r="I4" s="264">
        <v>863216</v>
      </c>
    </row>
    <row r="5" spans="1:9" x14ac:dyDescent="0.25">
      <c r="A5" s="262" t="s">
        <v>17</v>
      </c>
      <c r="B5" s="262">
        <v>53438</v>
      </c>
      <c r="C5" s="262">
        <v>45538</v>
      </c>
      <c r="D5" s="262">
        <v>7900</v>
      </c>
      <c r="E5" s="221"/>
      <c r="F5" s="36"/>
      <c r="H5" s="262" t="s">
        <v>17</v>
      </c>
      <c r="I5" s="262">
        <v>53438</v>
      </c>
    </row>
    <row r="6" spans="1:9" x14ac:dyDescent="0.25">
      <c r="A6" s="262" t="s">
        <v>24</v>
      </c>
      <c r="B6" s="264">
        <v>203631</v>
      </c>
      <c r="C6" s="264">
        <v>203631</v>
      </c>
      <c r="D6" s="264"/>
      <c r="E6" s="221"/>
      <c r="F6" s="36"/>
      <c r="H6" s="262" t="s">
        <v>24</v>
      </c>
      <c r="I6" s="264">
        <v>203631</v>
      </c>
    </row>
    <row r="7" spans="1:9" x14ac:dyDescent="0.25">
      <c r="A7" s="262" t="s">
        <v>42</v>
      </c>
      <c r="B7" s="262">
        <v>167323</v>
      </c>
      <c r="C7" s="262">
        <v>167323</v>
      </c>
      <c r="D7" s="262"/>
      <c r="E7" s="221"/>
      <c r="F7" s="37"/>
      <c r="H7" s="262" t="s">
        <v>42</v>
      </c>
      <c r="I7" s="262">
        <v>167323</v>
      </c>
    </row>
    <row r="8" spans="1:9" x14ac:dyDescent="0.25">
      <c r="A8" s="262" t="s">
        <v>29</v>
      </c>
      <c r="B8" s="262">
        <v>64668</v>
      </c>
      <c r="C8" s="262">
        <v>64668</v>
      </c>
      <c r="D8" s="262"/>
      <c r="E8" s="221"/>
      <c r="F8" s="248"/>
      <c r="H8" s="262" t="s">
        <v>29</v>
      </c>
      <c r="I8" s="262">
        <v>64668</v>
      </c>
    </row>
    <row r="9" spans="1:9" x14ac:dyDescent="0.25">
      <c r="A9" s="262" t="s">
        <v>260</v>
      </c>
      <c r="B9" s="262">
        <v>23140</v>
      </c>
      <c r="C9" s="262"/>
      <c r="D9" s="262">
        <v>23140</v>
      </c>
      <c r="E9" s="236"/>
      <c r="F9" s="251"/>
      <c r="H9" s="262" t="s">
        <v>260</v>
      </c>
      <c r="I9" s="262">
        <v>19140</v>
      </c>
    </row>
    <row r="10" spans="1:9" x14ac:dyDescent="0.25">
      <c r="A10" s="262" t="s">
        <v>230</v>
      </c>
      <c r="B10" s="262">
        <v>0</v>
      </c>
      <c r="C10" s="262"/>
      <c r="D10" s="262"/>
      <c r="E10" s="222"/>
      <c r="F10" s="248"/>
      <c r="H10" s="262" t="s">
        <v>230</v>
      </c>
      <c r="I10" s="262">
        <v>0</v>
      </c>
    </row>
    <row r="11" spans="1:9" x14ac:dyDescent="0.25">
      <c r="A11" s="355" t="s">
        <v>12</v>
      </c>
      <c r="B11" s="250">
        <f>SUM(B4:B10)</f>
        <v>1375416</v>
      </c>
      <c r="C11" s="250">
        <f>SUM(C4:C10)</f>
        <v>641448</v>
      </c>
      <c r="D11" s="250">
        <f>SUM(D4:D10)</f>
        <v>453868</v>
      </c>
      <c r="E11" s="162">
        <f>SUM(E4:E10)</f>
        <v>263100</v>
      </c>
      <c r="F11" s="253"/>
      <c r="H11" s="357" t="s">
        <v>12</v>
      </c>
      <c r="I11" s="250">
        <f>SUM(I4:I10)</f>
        <v>1371416</v>
      </c>
    </row>
    <row r="14" spans="1:9" x14ac:dyDescent="0.25">
      <c r="A14" s="764" t="s">
        <v>198</v>
      </c>
      <c r="B14" s="764"/>
      <c r="C14" s="764"/>
      <c r="D14" s="764"/>
      <c r="E14" s="759" t="s">
        <v>289</v>
      </c>
    </row>
    <row r="15" spans="1:9" ht="13.5" customHeight="1" x14ac:dyDescent="0.25">
      <c r="A15" s="354" t="s">
        <v>168</v>
      </c>
      <c r="B15" s="354" t="s">
        <v>169</v>
      </c>
      <c r="C15" s="354" t="s">
        <v>172</v>
      </c>
      <c r="D15" s="354" t="s">
        <v>170</v>
      </c>
      <c r="E15" s="760"/>
    </row>
    <row r="16" spans="1:9" ht="13.5" customHeight="1" x14ac:dyDescent="0.25">
      <c r="A16" s="276" t="s">
        <v>119</v>
      </c>
      <c r="B16" s="274">
        <v>56000</v>
      </c>
      <c r="C16" s="275">
        <v>42006</v>
      </c>
      <c r="D16" s="274" t="s">
        <v>343</v>
      </c>
      <c r="E16" s="279" t="s">
        <v>229</v>
      </c>
    </row>
    <row r="17" spans="1:6" ht="13.5" customHeight="1" x14ac:dyDescent="0.25">
      <c r="A17" s="360" t="s">
        <v>303</v>
      </c>
      <c r="B17" s="360">
        <v>28000</v>
      </c>
      <c r="C17" s="361">
        <v>42015</v>
      </c>
      <c r="D17" s="360"/>
      <c r="E17" s="362"/>
    </row>
    <row r="18" spans="1:6" x14ac:dyDescent="0.25">
      <c r="A18" s="276" t="s">
        <v>119</v>
      </c>
      <c r="B18" s="274">
        <v>58500</v>
      </c>
      <c r="C18" s="275">
        <v>42024</v>
      </c>
      <c r="D18" s="274" t="s">
        <v>284</v>
      </c>
      <c r="E18" s="279" t="s">
        <v>152</v>
      </c>
    </row>
    <row r="19" spans="1:6" x14ac:dyDescent="0.25">
      <c r="A19" s="276" t="s">
        <v>286</v>
      </c>
      <c r="B19" s="274">
        <v>50000</v>
      </c>
      <c r="C19" s="275">
        <v>42019</v>
      </c>
      <c r="D19" s="274" t="s">
        <v>285</v>
      </c>
      <c r="E19" s="279" t="s">
        <v>348</v>
      </c>
    </row>
    <row r="20" spans="1:6" x14ac:dyDescent="0.25">
      <c r="A20" s="276" t="s">
        <v>286</v>
      </c>
      <c r="B20" s="274">
        <v>37000</v>
      </c>
      <c r="C20" s="275">
        <v>42029</v>
      </c>
      <c r="D20" s="274"/>
      <c r="E20" s="279" t="s">
        <v>349</v>
      </c>
    </row>
    <row r="21" spans="1:6" x14ac:dyDescent="0.25">
      <c r="A21" s="274" t="s">
        <v>287</v>
      </c>
      <c r="B21" s="274">
        <v>20600</v>
      </c>
      <c r="C21" s="275">
        <v>42022</v>
      </c>
      <c r="D21" s="274" t="s">
        <v>288</v>
      </c>
      <c r="E21" s="279" t="s">
        <v>152</v>
      </c>
    </row>
    <row r="22" spans="1:6" x14ac:dyDescent="0.25">
      <c r="A22" s="274" t="s">
        <v>271</v>
      </c>
      <c r="B22" s="274">
        <v>13000</v>
      </c>
      <c r="C22" s="275"/>
      <c r="D22" s="274"/>
      <c r="E22" s="279" t="s">
        <v>152</v>
      </c>
    </row>
    <row r="23" spans="1:6" x14ac:dyDescent="0.25">
      <c r="A23" s="354" t="s">
        <v>171</v>
      </c>
      <c r="B23" s="354">
        <f>SUM(B16:B22)</f>
        <v>263100</v>
      </c>
      <c r="C23" s="274"/>
      <c r="D23" s="274"/>
      <c r="E23" s="279"/>
    </row>
    <row r="25" spans="1:6" x14ac:dyDescent="0.25">
      <c r="A25" s="758"/>
      <c r="B25" s="758"/>
      <c r="C25" s="758"/>
      <c r="D25" s="758"/>
    </row>
    <row r="26" spans="1:6" ht="23.25" customHeight="1" x14ac:dyDescent="0.25">
      <c r="A26" s="764" t="s">
        <v>237</v>
      </c>
      <c r="B26" s="764"/>
      <c r="C26" s="764"/>
      <c r="D26" s="764"/>
      <c r="E26" s="312"/>
      <c r="F26" s="312"/>
    </row>
    <row r="27" spans="1:6" ht="19.5" customHeight="1" x14ac:dyDescent="0.25">
      <c r="A27" s="359" t="s">
        <v>168</v>
      </c>
      <c r="B27" s="359" t="s">
        <v>169</v>
      </c>
      <c r="C27" s="359" t="s">
        <v>172</v>
      </c>
      <c r="D27" s="359" t="s">
        <v>170</v>
      </c>
      <c r="E27" s="313"/>
      <c r="F27" s="314"/>
    </row>
    <row r="28" spans="1:6" ht="19.5" customHeight="1" x14ac:dyDescent="0.25">
      <c r="A28" s="276" t="s">
        <v>300</v>
      </c>
      <c r="B28" s="274">
        <v>10000</v>
      </c>
      <c r="C28" s="275">
        <v>42007</v>
      </c>
      <c r="D28" s="274"/>
      <c r="E28" s="313"/>
      <c r="F28" s="314"/>
    </row>
    <row r="29" spans="1:6" x14ac:dyDescent="0.25">
      <c r="A29" s="276">
        <v>75797</v>
      </c>
      <c r="B29" s="274">
        <v>11570</v>
      </c>
      <c r="C29" s="275">
        <v>42005</v>
      </c>
      <c r="D29" s="274"/>
      <c r="E29" s="320"/>
      <c r="F29" s="3"/>
    </row>
    <row r="30" spans="1:6" x14ac:dyDescent="0.25">
      <c r="A30" s="274"/>
      <c r="B30" s="274"/>
      <c r="C30" s="275"/>
      <c r="D30" s="274"/>
      <c r="E30" s="55"/>
      <c r="F30" s="3"/>
    </row>
    <row r="31" spans="1:6" x14ac:dyDescent="0.25">
      <c r="A31" s="274" t="s">
        <v>12</v>
      </c>
      <c r="B31" s="321">
        <f>SUM(B28:B30)</f>
        <v>21570</v>
      </c>
      <c r="C31" s="275"/>
      <c r="D31" s="274"/>
      <c r="E31" s="79"/>
      <c r="F31" s="3"/>
    </row>
    <row r="32" spans="1:6" x14ac:dyDescent="0.25">
      <c r="A32" s="3"/>
      <c r="B32" s="3"/>
      <c r="C32" s="3"/>
      <c r="D32" s="3"/>
    </row>
    <row r="33" spans="1:4" x14ac:dyDescent="0.25">
      <c r="A33" s="3"/>
      <c r="B33" s="3"/>
      <c r="C33" s="3"/>
      <c r="D33" s="3"/>
    </row>
    <row r="34" spans="1:4" x14ac:dyDescent="0.25">
      <c r="A34" s="3"/>
      <c r="B34" s="3"/>
      <c r="C34" s="3"/>
      <c r="D34" s="3"/>
    </row>
    <row r="35" spans="1:4" x14ac:dyDescent="0.25">
      <c r="B35" s="3"/>
    </row>
    <row r="36" spans="1:4" x14ac:dyDescent="0.25">
      <c r="B36" s="238"/>
    </row>
  </sheetData>
  <mergeCells count="13">
    <mergeCell ref="A26:D26"/>
    <mergeCell ref="A14:D14"/>
    <mergeCell ref="A25:D25"/>
    <mergeCell ref="A1:F1"/>
    <mergeCell ref="H1:I1"/>
    <mergeCell ref="A2:A3"/>
    <mergeCell ref="B2:B3"/>
    <mergeCell ref="C2:D2"/>
    <mergeCell ref="E2:E3"/>
    <mergeCell ref="F2:F3"/>
    <mergeCell ref="H2:H3"/>
    <mergeCell ref="I2:I3"/>
    <mergeCell ref="E14:E15"/>
  </mergeCells>
  <pageMargins left="0.7" right="0.7" top="0.5" bottom="0" header="0.3" footer="0"/>
  <pageSetup paperSize="9" scale="85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opLeftCell="A21" zoomScaleNormal="100" workbookViewId="0">
      <selection activeCell="A29" sqref="A29"/>
    </sheetView>
  </sheetViews>
  <sheetFormatPr defaultRowHeight="15" x14ac:dyDescent="0.25"/>
  <cols>
    <col min="1" max="1" width="14.42578125" style="260" customWidth="1"/>
    <col min="2" max="3" width="12.140625" style="260" customWidth="1"/>
    <col min="4" max="4" width="15.7109375" style="260" customWidth="1"/>
    <col min="5" max="5" width="10.7109375" style="260" customWidth="1"/>
    <col min="6" max="6" width="27.42578125" style="260" customWidth="1"/>
    <col min="7" max="7" width="9.140625" style="260"/>
    <col min="8" max="9" width="14.5703125" style="260" customWidth="1"/>
    <col min="10" max="16384" width="9.140625" style="260"/>
  </cols>
  <sheetData>
    <row r="1" spans="1:9" ht="31.5" customHeight="1" x14ac:dyDescent="0.25">
      <c r="A1" s="754" t="s">
        <v>276</v>
      </c>
      <c r="B1" s="754"/>
      <c r="C1" s="754"/>
      <c r="D1" s="754"/>
      <c r="E1" s="754"/>
      <c r="F1" s="754"/>
      <c r="H1" s="745" t="s">
        <v>277</v>
      </c>
      <c r="I1" s="745"/>
    </row>
    <row r="2" spans="1:9" ht="19.5" customHeight="1" x14ac:dyDescent="0.25">
      <c r="A2" s="754" t="s">
        <v>7</v>
      </c>
      <c r="B2" s="754" t="s">
        <v>47</v>
      </c>
      <c r="C2" s="754" t="s">
        <v>199</v>
      </c>
      <c r="D2" s="754"/>
      <c r="E2" s="755" t="s">
        <v>32</v>
      </c>
      <c r="F2" s="754" t="s">
        <v>23</v>
      </c>
      <c r="H2" s="754" t="s">
        <v>7</v>
      </c>
      <c r="I2" s="754" t="s">
        <v>47</v>
      </c>
    </row>
    <row r="3" spans="1:9" ht="19.5" customHeight="1" x14ac:dyDescent="0.25">
      <c r="A3" s="754"/>
      <c r="B3" s="754"/>
      <c r="C3" s="351" t="s">
        <v>5</v>
      </c>
      <c r="D3" s="351" t="s">
        <v>152</v>
      </c>
      <c r="E3" s="756"/>
      <c r="F3" s="754"/>
      <c r="H3" s="754"/>
      <c r="I3" s="754"/>
    </row>
    <row r="4" spans="1:9" x14ac:dyDescent="0.25">
      <c r="A4" s="262" t="s">
        <v>11</v>
      </c>
      <c r="B4" s="264">
        <v>949057</v>
      </c>
      <c r="C4" s="264">
        <v>130411</v>
      </c>
      <c r="D4" s="264">
        <v>364691</v>
      </c>
      <c r="E4" s="221">
        <f>+B40</f>
        <v>509819</v>
      </c>
      <c r="F4" s="235"/>
      <c r="H4" s="262" t="s">
        <v>11</v>
      </c>
      <c r="I4" s="264">
        <v>949057</v>
      </c>
    </row>
    <row r="5" spans="1:9" x14ac:dyDescent="0.25">
      <c r="A5" s="262" t="s">
        <v>17</v>
      </c>
      <c r="B5" s="262">
        <v>53561</v>
      </c>
      <c r="C5" s="262">
        <v>32731</v>
      </c>
      <c r="D5" s="262">
        <v>20830</v>
      </c>
      <c r="E5" s="221"/>
      <c r="F5" s="36"/>
      <c r="H5" s="262" t="s">
        <v>17</v>
      </c>
      <c r="I5" s="262">
        <v>53561</v>
      </c>
    </row>
    <row r="6" spans="1:9" x14ac:dyDescent="0.25">
      <c r="A6" s="262" t="s">
        <v>24</v>
      </c>
      <c r="B6" s="264">
        <v>256973</v>
      </c>
      <c r="C6" s="264">
        <v>218630</v>
      </c>
      <c r="D6" s="264">
        <v>0</v>
      </c>
      <c r="E6" s="221">
        <v>35814</v>
      </c>
      <c r="F6" s="36"/>
      <c r="H6" s="262" t="s">
        <v>24</v>
      </c>
      <c r="I6" s="264">
        <v>256973</v>
      </c>
    </row>
    <row r="7" spans="1:9" x14ac:dyDescent="0.25">
      <c r="A7" s="262" t="s">
        <v>42</v>
      </c>
      <c r="B7" s="262">
        <v>272101</v>
      </c>
      <c r="C7" s="262">
        <v>272101</v>
      </c>
      <c r="D7" s="262"/>
      <c r="E7" s="221"/>
      <c r="F7" s="37"/>
      <c r="H7" s="262" t="s">
        <v>42</v>
      </c>
      <c r="I7" s="262">
        <v>272101</v>
      </c>
    </row>
    <row r="8" spans="1:9" x14ac:dyDescent="0.25">
      <c r="A8" s="262" t="s">
        <v>29</v>
      </c>
      <c r="B8" s="262">
        <v>48202</v>
      </c>
      <c r="C8" s="262">
        <v>48202</v>
      </c>
      <c r="D8" s="262"/>
      <c r="E8" s="221"/>
      <c r="F8" s="248"/>
      <c r="H8" s="262" t="s">
        <v>29</v>
      </c>
      <c r="I8" s="262">
        <v>48202</v>
      </c>
    </row>
    <row r="9" spans="1:9" x14ac:dyDescent="0.25">
      <c r="A9" s="262" t="s">
        <v>260</v>
      </c>
      <c r="B9" s="262">
        <v>23042</v>
      </c>
      <c r="C9" s="262">
        <v>0</v>
      </c>
      <c r="D9" s="262">
        <v>23042</v>
      </c>
      <c r="E9" s="236"/>
      <c r="F9" s="251"/>
      <c r="H9" s="262" t="s">
        <v>260</v>
      </c>
      <c r="I9" s="262">
        <v>23042</v>
      </c>
    </row>
    <row r="10" spans="1:9" x14ac:dyDescent="0.25">
      <c r="A10" s="262" t="s">
        <v>230</v>
      </c>
      <c r="B10" s="262">
        <v>0</v>
      </c>
      <c r="C10" s="262">
        <v>0</v>
      </c>
      <c r="D10" s="262"/>
      <c r="E10" s="222"/>
      <c r="F10" s="248"/>
      <c r="H10" s="262" t="s">
        <v>230</v>
      </c>
      <c r="I10" s="262">
        <v>0</v>
      </c>
    </row>
    <row r="11" spans="1:9" x14ac:dyDescent="0.25">
      <c r="A11" s="351" t="s">
        <v>12</v>
      </c>
      <c r="B11" s="250">
        <f>SUM(B4:B10)</f>
        <v>1602936</v>
      </c>
      <c r="C11" s="250">
        <f>SUM(C4:C10)</f>
        <v>702075</v>
      </c>
      <c r="D11" s="250">
        <f>SUM(D4:D10)</f>
        <v>408563</v>
      </c>
      <c r="E11" s="162">
        <f>SUM(E4:E10)</f>
        <v>545633</v>
      </c>
      <c r="F11" s="253"/>
      <c r="H11" s="351" t="s">
        <v>12</v>
      </c>
      <c r="I11" s="250">
        <f>SUM(I4:I10)</f>
        <v>1602936</v>
      </c>
    </row>
    <row r="14" spans="1:9" x14ac:dyDescent="0.25">
      <c r="A14" s="764" t="s">
        <v>198</v>
      </c>
      <c r="B14" s="764"/>
      <c r="C14" s="764"/>
      <c r="D14" s="764"/>
    </row>
    <row r="15" spans="1:9" ht="13.5" customHeight="1" x14ac:dyDescent="0.25">
      <c r="A15" s="350" t="s">
        <v>168</v>
      </c>
      <c r="B15" s="350" t="s">
        <v>169</v>
      </c>
      <c r="C15" s="350" t="s">
        <v>172</v>
      </c>
      <c r="D15" s="350" t="s">
        <v>170</v>
      </c>
    </row>
    <row r="16" spans="1:9" ht="13.5" customHeight="1" x14ac:dyDescent="0.25">
      <c r="A16" s="274" t="s">
        <v>282</v>
      </c>
      <c r="B16" s="274">
        <v>13000</v>
      </c>
      <c r="C16" s="275">
        <v>42345</v>
      </c>
      <c r="D16" s="274" t="s">
        <v>295</v>
      </c>
    </row>
    <row r="17" spans="1:4" ht="13.5" customHeight="1" x14ac:dyDescent="0.25">
      <c r="A17" s="274" t="s">
        <v>280</v>
      </c>
      <c r="B17" s="274">
        <v>20000</v>
      </c>
      <c r="C17" s="275">
        <v>42346</v>
      </c>
      <c r="D17" s="274"/>
    </row>
    <row r="18" spans="1:4" x14ac:dyDescent="0.25">
      <c r="A18" s="274" t="s">
        <v>176</v>
      </c>
      <c r="B18" s="274">
        <v>17000</v>
      </c>
      <c r="C18" s="275">
        <v>42351</v>
      </c>
      <c r="D18" s="274"/>
    </row>
    <row r="19" spans="1:4" x14ac:dyDescent="0.25">
      <c r="A19" s="276" t="s">
        <v>263</v>
      </c>
      <c r="B19" s="274">
        <v>19484</v>
      </c>
      <c r="C19" s="275">
        <v>42351</v>
      </c>
      <c r="D19" s="274"/>
    </row>
    <row r="20" spans="1:4" x14ac:dyDescent="0.25">
      <c r="A20" s="276" t="s">
        <v>264</v>
      </c>
      <c r="B20" s="274">
        <v>43000</v>
      </c>
      <c r="C20" s="275">
        <v>42353</v>
      </c>
      <c r="D20" s="274" t="s">
        <v>265</v>
      </c>
    </row>
    <row r="21" spans="1:4" x14ac:dyDescent="0.25">
      <c r="A21" s="276" t="s">
        <v>296</v>
      </c>
      <c r="B21" s="276">
        <v>16000</v>
      </c>
      <c r="C21" s="242">
        <v>42353</v>
      </c>
      <c r="D21" s="276" t="s">
        <v>297</v>
      </c>
    </row>
    <row r="22" spans="1:4" x14ac:dyDescent="0.25">
      <c r="A22" s="276" t="s">
        <v>266</v>
      </c>
      <c r="B22" s="274">
        <v>38000</v>
      </c>
      <c r="C22" s="275">
        <v>42353</v>
      </c>
      <c r="D22" s="274"/>
    </row>
    <row r="23" spans="1:4" ht="13.5" customHeight="1" x14ac:dyDescent="0.25">
      <c r="A23" s="360" t="s">
        <v>304</v>
      </c>
      <c r="B23" s="360">
        <v>5102</v>
      </c>
      <c r="C23" s="361">
        <v>42355</v>
      </c>
      <c r="D23" s="358" t="s">
        <v>340</v>
      </c>
    </row>
    <row r="24" spans="1:4" x14ac:dyDescent="0.25">
      <c r="A24" s="360" t="s">
        <v>301</v>
      </c>
      <c r="B24" s="360">
        <v>5700</v>
      </c>
      <c r="C24" s="361">
        <v>42355</v>
      </c>
      <c r="D24" s="360" t="s">
        <v>333</v>
      </c>
    </row>
    <row r="25" spans="1:4" x14ac:dyDescent="0.25">
      <c r="A25" s="276" t="s">
        <v>119</v>
      </c>
      <c r="B25" s="274">
        <v>47500</v>
      </c>
      <c r="C25" s="275">
        <v>42359</v>
      </c>
      <c r="D25" s="274"/>
    </row>
    <row r="26" spans="1:4" x14ac:dyDescent="0.25">
      <c r="A26" s="360" t="s">
        <v>302</v>
      </c>
      <c r="B26" s="360">
        <v>20300</v>
      </c>
      <c r="C26" s="361">
        <v>42359</v>
      </c>
      <c r="D26" s="358" t="s">
        <v>297</v>
      </c>
    </row>
    <row r="27" spans="1:4" x14ac:dyDescent="0.25">
      <c r="A27" s="274" t="s">
        <v>267</v>
      </c>
      <c r="B27" s="274">
        <v>12000</v>
      </c>
      <c r="C27" s="275">
        <v>42358</v>
      </c>
      <c r="D27" s="274"/>
    </row>
    <row r="28" spans="1:4" x14ac:dyDescent="0.25">
      <c r="A28" s="274" t="s">
        <v>268</v>
      </c>
      <c r="B28" s="274">
        <v>20000</v>
      </c>
      <c r="C28" s="275">
        <v>42358</v>
      </c>
      <c r="D28" s="274"/>
    </row>
    <row r="29" spans="1:4" x14ac:dyDescent="0.25">
      <c r="A29" s="276" t="s">
        <v>269</v>
      </c>
      <c r="B29" s="274">
        <v>4000</v>
      </c>
      <c r="C29" s="275">
        <v>42358</v>
      </c>
      <c r="D29" s="274"/>
    </row>
    <row r="30" spans="1:4" x14ac:dyDescent="0.25">
      <c r="A30" s="276" t="s">
        <v>270</v>
      </c>
      <c r="B30" s="274">
        <v>32200</v>
      </c>
      <c r="C30" s="275">
        <v>42358</v>
      </c>
      <c r="D30" s="274"/>
    </row>
    <row r="31" spans="1:4" x14ac:dyDescent="0.25">
      <c r="A31" s="276" t="s">
        <v>274</v>
      </c>
      <c r="B31" s="274">
        <v>19977</v>
      </c>
      <c r="C31" s="275">
        <v>42360</v>
      </c>
      <c r="D31" s="274" t="s">
        <v>275</v>
      </c>
    </row>
    <row r="32" spans="1:4" x14ac:dyDescent="0.25">
      <c r="A32" s="276" t="s">
        <v>241</v>
      </c>
      <c r="B32" s="274">
        <v>12000</v>
      </c>
      <c r="C32" s="275">
        <v>42361</v>
      </c>
      <c r="D32" s="274"/>
    </row>
    <row r="33" spans="1:6" x14ac:dyDescent="0.25">
      <c r="A33" s="360" t="s">
        <v>305</v>
      </c>
      <c r="B33" s="360">
        <v>9556</v>
      </c>
      <c r="C33" s="361">
        <v>42377</v>
      </c>
      <c r="D33" s="360">
        <v>761</v>
      </c>
    </row>
    <row r="34" spans="1:6" x14ac:dyDescent="0.25">
      <c r="A34" s="360" t="s">
        <v>26</v>
      </c>
      <c r="B34" s="360">
        <v>10000</v>
      </c>
      <c r="C34" s="361">
        <v>42366</v>
      </c>
      <c r="D34" s="360"/>
    </row>
    <row r="35" spans="1:6" x14ac:dyDescent="0.25">
      <c r="A35" s="274" t="s">
        <v>271</v>
      </c>
      <c r="B35" s="274">
        <v>21000</v>
      </c>
      <c r="C35" s="275">
        <v>42366</v>
      </c>
      <c r="D35" s="274"/>
    </row>
    <row r="36" spans="1:6" x14ac:dyDescent="0.25">
      <c r="A36" s="274" t="s">
        <v>272</v>
      </c>
      <c r="B36" s="274">
        <v>6000</v>
      </c>
      <c r="C36" s="275">
        <v>42368</v>
      </c>
      <c r="D36" s="274"/>
    </row>
    <row r="37" spans="1:6" x14ac:dyDescent="0.25">
      <c r="A37" s="274" t="s">
        <v>292</v>
      </c>
      <c r="B37" s="274">
        <v>23000</v>
      </c>
      <c r="C37" s="275">
        <v>42366</v>
      </c>
      <c r="D37" s="274" t="s">
        <v>293</v>
      </c>
    </row>
    <row r="38" spans="1:6" x14ac:dyDescent="0.25">
      <c r="A38" s="276" t="s">
        <v>119</v>
      </c>
      <c r="B38" s="274">
        <v>59000</v>
      </c>
      <c r="C38" s="275">
        <v>42367</v>
      </c>
      <c r="D38" s="274" t="s">
        <v>273</v>
      </c>
    </row>
    <row r="39" spans="1:6" x14ac:dyDescent="0.25">
      <c r="A39" s="276" t="s">
        <v>279</v>
      </c>
      <c r="B39" s="274">
        <v>36000</v>
      </c>
      <c r="C39" s="275">
        <v>42363</v>
      </c>
      <c r="D39" s="274" t="s">
        <v>299</v>
      </c>
    </row>
    <row r="40" spans="1:6" x14ac:dyDescent="0.25">
      <c r="A40" s="350" t="s">
        <v>171</v>
      </c>
      <c r="B40" s="350">
        <f>SUM(B15:B39)</f>
        <v>509819</v>
      </c>
      <c r="C40" s="274"/>
      <c r="D40" s="274"/>
    </row>
    <row r="42" spans="1:6" x14ac:dyDescent="0.25">
      <c r="A42" s="764" t="s">
        <v>237</v>
      </c>
      <c r="B42" s="764"/>
      <c r="C42" s="764"/>
      <c r="D42" s="764"/>
    </row>
    <row r="43" spans="1:6" ht="23.25" customHeight="1" x14ac:dyDescent="0.25">
      <c r="A43" s="352" t="s">
        <v>168</v>
      </c>
      <c r="B43" s="352" t="s">
        <v>169</v>
      </c>
      <c r="C43" s="352" t="s">
        <v>172</v>
      </c>
      <c r="D43" s="352" t="s">
        <v>170</v>
      </c>
      <c r="E43" s="312"/>
      <c r="F43" s="312"/>
    </row>
    <row r="44" spans="1:6" ht="23.25" customHeight="1" x14ac:dyDescent="0.25">
      <c r="A44" s="274">
        <v>76179</v>
      </c>
      <c r="B44" s="274">
        <v>14703</v>
      </c>
      <c r="C44" s="275">
        <v>42354</v>
      </c>
      <c r="D44" s="274">
        <v>40000</v>
      </c>
      <c r="E44" s="312"/>
      <c r="F44" s="312"/>
    </row>
    <row r="45" spans="1:6" ht="23.25" customHeight="1" x14ac:dyDescent="0.25">
      <c r="A45" s="274">
        <v>75707</v>
      </c>
      <c r="B45" s="274">
        <v>5600</v>
      </c>
      <c r="C45" s="275">
        <v>42360</v>
      </c>
      <c r="D45" s="274"/>
      <c r="E45" s="312"/>
      <c r="F45" s="312"/>
    </row>
    <row r="46" spans="1:6" ht="20.25" customHeight="1" x14ac:dyDescent="0.25">
      <c r="A46" s="274">
        <v>76179</v>
      </c>
      <c r="B46" s="274">
        <v>17471</v>
      </c>
      <c r="C46" s="275">
        <v>42367</v>
      </c>
      <c r="D46" s="274"/>
      <c r="E46" s="312"/>
      <c r="F46" s="312"/>
    </row>
    <row r="47" spans="1:6" ht="20.25" customHeight="1" x14ac:dyDescent="0.25">
      <c r="A47" s="274">
        <v>75610</v>
      </c>
      <c r="B47" s="274">
        <v>10000</v>
      </c>
      <c r="C47" s="275"/>
      <c r="D47" s="274"/>
      <c r="E47" s="312"/>
      <c r="F47" s="312"/>
    </row>
    <row r="48" spans="1:6" ht="19.5" customHeight="1" x14ac:dyDescent="0.25">
      <c r="A48" s="276">
        <v>76488</v>
      </c>
      <c r="B48" s="274">
        <v>23364</v>
      </c>
      <c r="C48" s="275">
        <v>42352</v>
      </c>
      <c r="D48" s="274"/>
      <c r="E48" s="313"/>
      <c r="F48" s="314"/>
    </row>
    <row r="49" spans="1:6" ht="19.5" customHeight="1" x14ac:dyDescent="0.25">
      <c r="A49" s="276">
        <v>76538</v>
      </c>
      <c r="B49" s="274">
        <v>3451</v>
      </c>
      <c r="C49" s="275">
        <v>42353</v>
      </c>
      <c r="D49" s="274"/>
      <c r="E49" s="313"/>
      <c r="F49" s="314"/>
    </row>
    <row r="50" spans="1:6" x14ac:dyDescent="0.25">
      <c r="A50" s="274"/>
      <c r="B50" s="274"/>
      <c r="C50" s="275"/>
      <c r="D50" s="274"/>
      <c r="E50" s="320"/>
      <c r="F50" s="3"/>
    </row>
    <row r="51" spans="1:6" x14ac:dyDescent="0.25">
      <c r="A51" s="274" t="s">
        <v>12</v>
      </c>
      <c r="B51" s="321">
        <f>SUM(B44:B50)</f>
        <v>74589</v>
      </c>
      <c r="C51" s="275"/>
      <c r="D51" s="274"/>
      <c r="E51" s="55"/>
      <c r="F51" s="3"/>
    </row>
    <row r="52" spans="1:6" x14ac:dyDescent="0.25">
      <c r="A52" s="349"/>
      <c r="B52" s="129"/>
      <c r="C52" s="129"/>
      <c r="D52" s="129"/>
      <c r="E52" s="79"/>
      <c r="F52" s="3"/>
    </row>
    <row r="55" spans="1:6" x14ac:dyDescent="0.25">
      <c r="B55" s="3"/>
    </row>
    <row r="56" spans="1:6" x14ac:dyDescent="0.25">
      <c r="B56" s="3"/>
    </row>
    <row r="57" spans="1:6" x14ac:dyDescent="0.25">
      <c r="B57" s="238"/>
    </row>
  </sheetData>
  <mergeCells count="11">
    <mergeCell ref="A42:D42"/>
    <mergeCell ref="A14:D14"/>
    <mergeCell ref="A1:F1"/>
    <mergeCell ref="H1:I1"/>
    <mergeCell ref="A2:A3"/>
    <mergeCell ref="B2:B3"/>
    <mergeCell ref="C2:D2"/>
    <mergeCell ref="E2:E3"/>
    <mergeCell ref="F2:F3"/>
    <mergeCell ref="H2:H3"/>
    <mergeCell ref="I2:I3"/>
  </mergeCells>
  <pageMargins left="0.7" right="0.7" top="0.5" bottom="0" header="0.3" footer="0"/>
  <pageSetup paperSize="9" scale="78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opLeftCell="A3" zoomScaleNormal="100" workbookViewId="0">
      <selection activeCell="A24" sqref="A24"/>
    </sheetView>
  </sheetViews>
  <sheetFormatPr defaultRowHeight="15" x14ac:dyDescent="0.25"/>
  <cols>
    <col min="1" max="1" width="14.42578125" style="260" customWidth="1"/>
    <col min="2" max="4" width="12.140625" style="260" customWidth="1"/>
    <col min="5" max="5" width="10.7109375" style="260" customWidth="1"/>
    <col min="6" max="6" width="27.42578125" style="260" customWidth="1"/>
    <col min="7" max="7" width="9.140625" style="260"/>
    <col min="8" max="9" width="14.5703125" style="260" customWidth="1"/>
    <col min="10" max="16384" width="9.140625" style="260"/>
  </cols>
  <sheetData>
    <row r="1" spans="1:9" ht="31.5" customHeight="1" x14ac:dyDescent="0.25">
      <c r="A1" s="754" t="s">
        <v>231</v>
      </c>
      <c r="B1" s="754"/>
      <c r="C1" s="754"/>
      <c r="D1" s="754"/>
      <c r="E1" s="754"/>
      <c r="F1" s="754"/>
      <c r="H1" s="745" t="s">
        <v>232</v>
      </c>
      <c r="I1" s="745"/>
    </row>
    <row r="2" spans="1:9" ht="19.5" customHeight="1" x14ac:dyDescent="0.25">
      <c r="A2" s="754" t="s">
        <v>7</v>
      </c>
      <c r="B2" s="754" t="s">
        <v>47</v>
      </c>
      <c r="C2" s="754" t="s">
        <v>199</v>
      </c>
      <c r="D2" s="754"/>
      <c r="E2" s="755" t="s">
        <v>32</v>
      </c>
      <c r="F2" s="754" t="s">
        <v>23</v>
      </c>
      <c r="H2" s="754" t="s">
        <v>7</v>
      </c>
      <c r="I2" s="754" t="s">
        <v>47</v>
      </c>
    </row>
    <row r="3" spans="1:9" ht="19.5" customHeight="1" x14ac:dyDescent="0.25">
      <c r="A3" s="754"/>
      <c r="B3" s="754"/>
      <c r="C3" s="301" t="s">
        <v>5</v>
      </c>
      <c r="D3" s="301" t="s">
        <v>152</v>
      </c>
      <c r="E3" s="756"/>
      <c r="F3" s="754"/>
      <c r="H3" s="754"/>
      <c r="I3" s="754"/>
    </row>
    <row r="4" spans="1:9" x14ac:dyDescent="0.25">
      <c r="A4" s="262" t="s">
        <v>11</v>
      </c>
      <c r="B4" s="264">
        <v>625237</v>
      </c>
      <c r="C4" s="264">
        <v>189102</v>
      </c>
      <c r="D4" s="264">
        <v>307317</v>
      </c>
      <c r="E4" s="221">
        <f>+B26</f>
        <v>136422</v>
      </c>
      <c r="F4" s="235"/>
      <c r="H4" s="262" t="s">
        <v>11</v>
      </c>
      <c r="I4" s="264">
        <v>590737</v>
      </c>
    </row>
    <row r="5" spans="1:9" x14ac:dyDescent="0.25">
      <c r="A5" s="262" t="s">
        <v>17</v>
      </c>
      <c r="B5" s="262">
        <v>137799</v>
      </c>
      <c r="C5" s="262">
        <v>116159</v>
      </c>
      <c r="D5" s="262">
        <v>21640</v>
      </c>
      <c r="E5" s="221"/>
      <c r="F5" s="36"/>
      <c r="H5" s="262" t="s">
        <v>17</v>
      </c>
      <c r="I5" s="262">
        <v>137799</v>
      </c>
    </row>
    <row r="6" spans="1:9" x14ac:dyDescent="0.25">
      <c r="A6" s="262" t="s">
        <v>24</v>
      </c>
      <c r="B6" s="264">
        <v>243439</v>
      </c>
      <c r="C6" s="264">
        <v>174729</v>
      </c>
      <c r="D6" s="264">
        <v>68710</v>
      </c>
      <c r="E6" s="221"/>
      <c r="F6" s="36"/>
      <c r="H6" s="262" t="s">
        <v>24</v>
      </c>
      <c r="I6" s="264">
        <v>215798</v>
      </c>
    </row>
    <row r="7" spans="1:9" x14ac:dyDescent="0.25">
      <c r="A7" s="262" t="s">
        <v>42</v>
      </c>
      <c r="B7" s="262">
        <v>66025</v>
      </c>
      <c r="C7" s="262">
        <v>66025</v>
      </c>
      <c r="D7" s="262"/>
      <c r="E7" s="221"/>
      <c r="F7" s="37"/>
      <c r="H7" s="262" t="s">
        <v>42</v>
      </c>
      <c r="I7" s="262">
        <v>109285</v>
      </c>
    </row>
    <row r="8" spans="1:9" x14ac:dyDescent="0.25">
      <c r="A8" s="262" t="s">
        <v>29</v>
      </c>
      <c r="B8" s="262">
        <v>14136</v>
      </c>
      <c r="C8" s="262">
        <v>14136</v>
      </c>
      <c r="D8" s="262"/>
      <c r="E8" s="221"/>
      <c r="F8" s="248"/>
      <c r="H8" s="262" t="s">
        <v>29</v>
      </c>
      <c r="I8" s="262">
        <v>14136</v>
      </c>
    </row>
    <row r="9" spans="1:9" x14ac:dyDescent="0.25">
      <c r="A9" s="262" t="s">
        <v>153</v>
      </c>
      <c r="B9" s="262">
        <v>40968</v>
      </c>
      <c r="C9" s="262">
        <v>40968</v>
      </c>
      <c r="D9" s="262"/>
      <c r="E9" s="236"/>
      <c r="F9" s="251"/>
      <c r="H9" s="262" t="s">
        <v>153</v>
      </c>
      <c r="I9" s="262">
        <v>0</v>
      </c>
    </row>
    <row r="10" spans="1:9" x14ac:dyDescent="0.25">
      <c r="A10" s="262" t="s">
        <v>230</v>
      </c>
      <c r="B10" s="262">
        <v>22385</v>
      </c>
      <c r="C10" s="262">
        <v>22385</v>
      </c>
      <c r="D10" s="262"/>
      <c r="E10" s="222"/>
      <c r="F10" s="248"/>
      <c r="H10" s="262" t="s">
        <v>230</v>
      </c>
      <c r="I10" s="262">
        <v>22385</v>
      </c>
    </row>
    <row r="11" spans="1:9" x14ac:dyDescent="0.25">
      <c r="A11" s="301" t="s">
        <v>12</v>
      </c>
      <c r="B11" s="250">
        <f>SUM(B4:B10)</f>
        <v>1149989</v>
      </c>
      <c r="C11" s="250">
        <f>SUM(C4:C10)</f>
        <v>623504</v>
      </c>
      <c r="D11" s="250">
        <f>SUM(D4:D10)</f>
        <v>397667</v>
      </c>
      <c r="E11" s="162">
        <f>SUM(E4:E10)</f>
        <v>136422</v>
      </c>
      <c r="F11" s="253"/>
      <c r="H11" s="301" t="s">
        <v>12</v>
      </c>
      <c r="I11" s="250">
        <f>SUM(I4:I10)</f>
        <v>1090140</v>
      </c>
    </row>
    <row r="14" spans="1:9" x14ac:dyDescent="0.25">
      <c r="A14" s="764" t="s">
        <v>198</v>
      </c>
      <c r="B14" s="764"/>
      <c r="C14" s="764"/>
      <c r="D14" s="764"/>
    </row>
    <row r="15" spans="1:9" ht="13.5" customHeight="1" x14ac:dyDescent="0.25">
      <c r="A15" s="302" t="s">
        <v>168</v>
      </c>
      <c r="B15" s="302" t="s">
        <v>169</v>
      </c>
      <c r="C15" s="302" t="s">
        <v>172</v>
      </c>
      <c r="D15" s="302" t="s">
        <v>170</v>
      </c>
    </row>
    <row r="16" spans="1:9" x14ac:dyDescent="0.25">
      <c r="A16" s="274" t="s">
        <v>26</v>
      </c>
      <c r="B16" s="274">
        <v>12000</v>
      </c>
      <c r="C16" s="275">
        <v>42335</v>
      </c>
      <c r="D16" s="274" t="s">
        <v>227</v>
      </c>
    </row>
    <row r="17" spans="1:6" x14ac:dyDescent="0.25">
      <c r="A17" s="276" t="s">
        <v>238</v>
      </c>
      <c r="B17" s="274">
        <v>2000</v>
      </c>
      <c r="C17" s="275">
        <v>42335</v>
      </c>
      <c r="D17" s="274" t="s">
        <v>98</v>
      </c>
    </row>
    <row r="18" spans="1:6" x14ac:dyDescent="0.25">
      <c r="A18" s="274" t="s">
        <v>239</v>
      </c>
      <c r="B18" s="274">
        <v>6000</v>
      </c>
      <c r="C18" s="275">
        <v>42325</v>
      </c>
      <c r="D18" s="274"/>
    </row>
    <row r="19" spans="1:6" x14ac:dyDescent="0.25">
      <c r="A19" s="274" t="s">
        <v>214</v>
      </c>
      <c r="B19" s="274">
        <v>7000</v>
      </c>
      <c r="C19" s="275">
        <v>42325</v>
      </c>
      <c r="D19" s="274" t="s">
        <v>225</v>
      </c>
    </row>
    <row r="20" spans="1:6" x14ac:dyDescent="0.25">
      <c r="A20" s="276" t="s">
        <v>262</v>
      </c>
      <c r="B20" s="274">
        <v>14000</v>
      </c>
      <c r="C20" s="275">
        <v>42338</v>
      </c>
      <c r="D20" s="274"/>
    </row>
    <row r="21" spans="1:6" x14ac:dyDescent="0.25">
      <c r="A21" s="276" t="s">
        <v>240</v>
      </c>
      <c r="B21" s="274">
        <v>27818</v>
      </c>
      <c r="C21" s="275">
        <v>42331</v>
      </c>
      <c r="D21" s="274" t="s">
        <v>281</v>
      </c>
    </row>
    <row r="22" spans="1:6" x14ac:dyDescent="0.25">
      <c r="A22" s="276" t="s">
        <v>241</v>
      </c>
      <c r="B22" s="274">
        <v>14000</v>
      </c>
      <c r="C22" s="275">
        <v>42331</v>
      </c>
      <c r="D22" s="274" t="s">
        <v>242</v>
      </c>
    </row>
    <row r="23" spans="1:6" x14ac:dyDescent="0.25">
      <c r="A23" s="276" t="s">
        <v>278</v>
      </c>
      <c r="B23" s="274">
        <v>5104</v>
      </c>
      <c r="C23" s="275">
        <v>42338</v>
      </c>
      <c r="D23" s="274"/>
    </row>
    <row r="24" spans="1:6" x14ac:dyDescent="0.25">
      <c r="A24" s="276" t="s">
        <v>119</v>
      </c>
      <c r="B24" s="274">
        <v>48500</v>
      </c>
      <c r="C24" s="275">
        <v>42338</v>
      </c>
      <c r="D24" s="274" t="s">
        <v>243</v>
      </c>
    </row>
    <row r="25" spans="1:6" x14ac:dyDescent="0.25">
      <c r="A25" s="274"/>
      <c r="B25" s="274"/>
      <c r="C25" s="275"/>
      <c r="D25" s="274"/>
    </row>
    <row r="26" spans="1:6" x14ac:dyDescent="0.25">
      <c r="A26" s="302" t="s">
        <v>171</v>
      </c>
      <c r="B26" s="302">
        <f>SUM(B16:B25)</f>
        <v>136422</v>
      </c>
      <c r="C26" s="274"/>
      <c r="D26" s="274"/>
    </row>
    <row r="29" spans="1:6" ht="23.25" customHeight="1" x14ac:dyDescent="0.25">
      <c r="A29" s="312"/>
      <c r="B29" s="312"/>
      <c r="C29" s="312"/>
      <c r="D29" s="312"/>
      <c r="E29" s="312"/>
      <c r="F29" s="312"/>
    </row>
    <row r="30" spans="1:6" ht="19.5" customHeight="1" x14ac:dyDescent="0.25">
      <c r="A30" s="312"/>
      <c r="B30" s="312"/>
      <c r="C30" s="312"/>
      <c r="D30" s="312"/>
      <c r="E30" s="313"/>
      <c r="F30" s="314"/>
    </row>
    <row r="31" spans="1:6" ht="19.5" customHeight="1" x14ac:dyDescent="0.25">
      <c r="A31" s="312"/>
      <c r="B31" s="312"/>
      <c r="C31" s="306"/>
      <c r="D31" s="306"/>
      <c r="E31" s="313"/>
      <c r="F31" s="314"/>
    </row>
    <row r="32" spans="1:6" x14ac:dyDescent="0.25">
      <c r="A32" s="19"/>
      <c r="B32" s="132"/>
      <c r="C32" s="132"/>
      <c r="D32" s="132"/>
      <c r="E32" s="315"/>
      <c r="F32" s="316"/>
    </row>
    <row r="33" spans="1:6" x14ac:dyDescent="0.25">
      <c r="A33" s="19"/>
      <c r="B33" s="19"/>
      <c r="C33" s="19"/>
      <c r="D33" s="19"/>
      <c r="E33" s="317"/>
      <c r="F33" s="3"/>
    </row>
    <row r="34" spans="1:6" x14ac:dyDescent="0.25">
      <c r="A34" s="19"/>
      <c r="B34" s="132"/>
      <c r="C34" s="132"/>
      <c r="D34" s="132"/>
      <c r="E34" s="318"/>
      <c r="F34" s="3"/>
    </row>
    <row r="35" spans="1:6" x14ac:dyDescent="0.25">
      <c r="A35" s="19"/>
      <c r="B35" s="19"/>
      <c r="C35" s="19"/>
      <c r="D35" s="19"/>
      <c r="E35" s="319"/>
      <c r="F35" s="3"/>
    </row>
    <row r="36" spans="1:6" x14ac:dyDescent="0.25">
      <c r="A36" s="19"/>
      <c r="B36" s="19"/>
      <c r="C36" s="19"/>
      <c r="D36" s="19"/>
      <c r="E36" s="55"/>
      <c r="F36" s="3"/>
    </row>
    <row r="37" spans="1:6" x14ac:dyDescent="0.25">
      <c r="A37" s="19"/>
      <c r="B37" s="19"/>
      <c r="C37" s="19"/>
      <c r="D37" s="19"/>
      <c r="E37" s="320"/>
      <c r="F37" s="3"/>
    </row>
    <row r="38" spans="1:6" x14ac:dyDescent="0.25">
      <c r="A38" s="19"/>
      <c r="B38" s="19"/>
      <c r="C38" s="19"/>
      <c r="D38" s="19"/>
      <c r="E38" s="55"/>
      <c r="F38" s="3"/>
    </row>
    <row r="39" spans="1:6" x14ac:dyDescent="0.25">
      <c r="A39" s="306"/>
      <c r="B39" s="129"/>
      <c r="C39" s="129"/>
      <c r="D39" s="129"/>
      <c r="E39" s="79"/>
      <c r="F39" s="3"/>
    </row>
    <row r="42" spans="1:6" x14ac:dyDescent="0.25">
      <c r="B42" s="3"/>
    </row>
    <row r="43" spans="1:6" x14ac:dyDescent="0.25">
      <c r="B43" s="3"/>
    </row>
    <row r="44" spans="1:6" x14ac:dyDescent="0.25">
      <c r="B44" s="238"/>
    </row>
  </sheetData>
  <mergeCells count="10">
    <mergeCell ref="A14:D14"/>
    <mergeCell ref="A1:F1"/>
    <mergeCell ref="H1:I1"/>
    <mergeCell ref="A2:A3"/>
    <mergeCell ref="B2:B3"/>
    <mergeCell ref="C2:D2"/>
    <mergeCell ref="E2:E3"/>
    <mergeCell ref="F2:F3"/>
    <mergeCell ref="H2:H3"/>
    <mergeCell ref="I2:I3"/>
  </mergeCells>
  <pageMargins left="0.7" right="0.7" top="0.75" bottom="0.75" header="0.3" footer="0.3"/>
  <pageSetup paperSize="9" scale="85" orientation="landscape" horizontalDpi="300" verticalDpi="300" r:id="rId1"/>
  <rowBreaks count="1" manualBreakCount="1">
    <brk id="28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65"/>
  <sheetViews>
    <sheetView workbookViewId="0">
      <selection activeCell="E17" sqref="E17"/>
    </sheetView>
  </sheetViews>
  <sheetFormatPr defaultRowHeight="15" x14ac:dyDescent="0.25"/>
  <cols>
    <col min="1" max="1" width="9" style="1" customWidth="1"/>
    <col min="2" max="2" width="14.42578125" style="4" customWidth="1"/>
    <col min="3" max="3" width="9" style="1" customWidth="1"/>
    <col min="4" max="4" width="8.42578125" style="1" customWidth="1"/>
    <col min="5" max="5" width="12.5703125" style="1" customWidth="1"/>
    <col min="6" max="6" width="13.85546875" style="1" customWidth="1"/>
    <col min="7" max="7" width="12.5703125" style="4" customWidth="1"/>
    <col min="8" max="8" width="10.140625" style="1" customWidth="1"/>
    <col min="9" max="10" width="10.28515625" style="1" customWidth="1"/>
    <col min="11" max="12" width="8.85546875" style="1" customWidth="1"/>
    <col min="13" max="13" width="32.5703125" customWidth="1"/>
  </cols>
  <sheetData>
    <row r="1" spans="1:29" ht="13.5" customHeight="1" x14ac:dyDescent="0.25">
      <c r="A1" s="773" t="s">
        <v>5</v>
      </c>
      <c r="B1" s="773"/>
      <c r="C1" s="773"/>
      <c r="D1" s="773"/>
      <c r="E1" s="773"/>
      <c r="F1" s="773"/>
      <c r="G1" s="773"/>
      <c r="H1" s="18"/>
      <c r="I1" s="18"/>
      <c r="J1" s="18"/>
      <c r="K1" s="18"/>
      <c r="L1" s="18"/>
      <c r="M1" s="23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9" ht="11.25" customHeight="1" x14ac:dyDescent="0.25">
      <c r="A2" s="773" t="s">
        <v>6</v>
      </c>
      <c r="B2" s="773"/>
      <c r="C2" s="773"/>
      <c r="D2" s="773"/>
      <c r="E2" s="773"/>
      <c r="F2" s="773"/>
      <c r="G2" s="773"/>
      <c r="H2" s="18"/>
      <c r="I2" s="18"/>
      <c r="J2" s="18"/>
      <c r="K2" s="18"/>
      <c r="L2" s="18"/>
      <c r="M2" s="23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9" ht="10.5" customHeight="1" x14ac:dyDescent="0.25">
      <c r="A3" s="765" t="s">
        <v>18</v>
      </c>
      <c r="B3" s="765"/>
      <c r="C3" s="765"/>
      <c r="D3" s="765"/>
      <c r="E3" s="765"/>
      <c r="F3" s="765"/>
      <c r="G3" s="765"/>
      <c r="H3" s="18"/>
      <c r="I3" s="18"/>
      <c r="J3" s="18"/>
      <c r="K3" s="18"/>
      <c r="L3" s="18"/>
      <c r="M3" s="23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9" s="9" customFormat="1" ht="15.75" customHeight="1" x14ac:dyDescent="0.2">
      <c r="A4" s="124">
        <v>41931</v>
      </c>
      <c r="B4" s="765" t="s">
        <v>107</v>
      </c>
      <c r="C4" s="765"/>
      <c r="D4" s="765"/>
      <c r="E4" s="765"/>
      <c r="F4" s="165"/>
      <c r="G4" s="141"/>
      <c r="H4" s="18"/>
      <c r="I4" s="131"/>
      <c r="J4" s="131"/>
      <c r="K4" s="131"/>
      <c r="L4" s="131"/>
      <c r="M4" s="79"/>
      <c r="N4" s="23"/>
      <c r="O4" s="23"/>
      <c r="P4" s="23"/>
      <c r="Q4" s="23"/>
      <c r="R4" s="23"/>
      <c r="S4" s="23"/>
      <c r="T4" s="23"/>
      <c r="U4" s="23"/>
      <c r="V4" s="23"/>
      <c r="W4" s="23"/>
    </row>
    <row r="5" spans="1:29" s="9" customFormat="1" ht="31.5" customHeight="1" x14ac:dyDescent="0.2">
      <c r="A5" s="170" t="s">
        <v>7</v>
      </c>
      <c r="B5" s="170" t="s">
        <v>8</v>
      </c>
      <c r="C5" s="170" t="s">
        <v>9</v>
      </c>
      <c r="D5" s="170" t="s">
        <v>10</v>
      </c>
      <c r="E5" s="170" t="s">
        <v>21</v>
      </c>
      <c r="F5" s="15" t="s">
        <v>62</v>
      </c>
      <c r="G5" s="170"/>
      <c r="H5" s="18"/>
      <c r="I5" s="772"/>
      <c r="J5" s="772"/>
      <c r="K5" s="772"/>
      <c r="L5" s="772"/>
      <c r="M5" s="772"/>
      <c r="N5" s="23"/>
      <c r="O5" s="23"/>
      <c r="P5" s="23"/>
      <c r="Q5" s="23"/>
      <c r="R5" s="23"/>
      <c r="S5" s="23"/>
      <c r="T5" s="23"/>
      <c r="U5" s="23"/>
      <c r="V5" s="23"/>
      <c r="W5" s="23"/>
    </row>
    <row r="6" spans="1:29" s="9" customFormat="1" ht="12.75" customHeight="1" x14ac:dyDescent="0.25">
      <c r="A6" s="135" t="s">
        <v>11</v>
      </c>
      <c r="B6" s="13" t="s">
        <v>134</v>
      </c>
      <c r="C6" s="76">
        <v>17000</v>
      </c>
      <c r="D6" s="77">
        <v>41993</v>
      </c>
      <c r="E6" s="130"/>
      <c r="F6" s="14"/>
      <c r="G6" s="135" t="s">
        <v>135</v>
      </c>
      <c r="H6" s="18"/>
      <c r="I6" s="19"/>
      <c r="J6" s="19"/>
      <c r="K6" s="19"/>
      <c r="L6" s="19"/>
      <c r="M6" s="55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s="9" customFormat="1" ht="12.75" customHeight="1" x14ac:dyDescent="0.2">
      <c r="A7" s="135" t="s">
        <v>11</v>
      </c>
      <c r="B7" s="5" t="s">
        <v>116</v>
      </c>
      <c r="C7" s="76">
        <v>15000</v>
      </c>
      <c r="D7" s="77">
        <v>41998</v>
      </c>
      <c r="E7" s="69"/>
      <c r="F7" s="78"/>
      <c r="G7" s="135"/>
      <c r="H7" s="18"/>
      <c r="I7" s="772"/>
      <c r="J7" s="772"/>
      <c r="K7" s="772"/>
      <c r="L7" s="772"/>
      <c r="M7" s="772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s="9" customFormat="1" ht="12.75" customHeight="1" x14ac:dyDescent="0.2">
      <c r="A8" s="135" t="s">
        <v>11</v>
      </c>
      <c r="B8" s="134"/>
      <c r="C8" s="76"/>
      <c r="D8" s="77"/>
      <c r="E8" s="69"/>
      <c r="F8" s="78"/>
      <c r="G8" s="135"/>
      <c r="H8" s="18"/>
      <c r="I8" s="166"/>
      <c r="J8" s="166"/>
      <c r="K8" s="166"/>
      <c r="L8" s="166"/>
      <c r="M8" s="166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s="9" customFormat="1" ht="12.75" customHeight="1" x14ac:dyDescent="0.2">
      <c r="A9" s="135" t="s">
        <v>11</v>
      </c>
      <c r="B9" s="75" t="s">
        <v>139</v>
      </c>
      <c r="C9" s="76">
        <v>13000</v>
      </c>
      <c r="D9" s="77">
        <v>41998</v>
      </c>
      <c r="E9" s="69"/>
      <c r="F9" s="78"/>
      <c r="G9" s="135"/>
      <c r="H9" s="18"/>
      <c r="I9" s="19"/>
      <c r="J9" s="19"/>
      <c r="K9" s="132"/>
      <c r="L9" s="132"/>
      <c r="M9" s="136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9" customFormat="1" ht="12.75" customHeight="1" x14ac:dyDescent="0.2">
      <c r="A10" s="135" t="s">
        <v>11</v>
      </c>
      <c r="B10" s="159" t="s">
        <v>140</v>
      </c>
      <c r="C10" s="76">
        <v>9500</v>
      </c>
      <c r="D10" s="77">
        <v>42000</v>
      </c>
      <c r="E10" s="69"/>
      <c r="F10" s="78"/>
      <c r="G10" s="135"/>
      <c r="H10" s="18"/>
      <c r="I10" s="19"/>
      <c r="J10" s="19"/>
      <c r="K10" s="19"/>
      <c r="L10" s="132"/>
      <c r="M10" s="137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s="9" customFormat="1" ht="12.75" customHeight="1" x14ac:dyDescent="0.2">
      <c r="A11" s="135" t="s">
        <v>11</v>
      </c>
      <c r="B11" s="159" t="s">
        <v>118</v>
      </c>
      <c r="C11" s="76">
        <v>11600</v>
      </c>
      <c r="D11" s="77">
        <v>42000</v>
      </c>
      <c r="E11" s="69"/>
      <c r="F11" s="78"/>
      <c r="G11" s="135"/>
      <c r="H11" s="18"/>
      <c r="I11" s="19"/>
      <c r="J11" s="19"/>
      <c r="K11" s="19"/>
      <c r="L11" s="132"/>
      <c r="M11" s="138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</row>
    <row r="12" spans="1:29" s="9" customFormat="1" ht="12.75" customHeight="1" x14ac:dyDescent="0.2">
      <c r="A12" s="135" t="s">
        <v>11</v>
      </c>
      <c r="B12" s="75" t="s">
        <v>26</v>
      </c>
      <c r="C12" s="120">
        <v>12500</v>
      </c>
      <c r="D12" s="77">
        <v>42003</v>
      </c>
      <c r="E12" s="144"/>
      <c r="F12" s="144"/>
      <c r="G12" s="144"/>
      <c r="H12" s="18"/>
      <c r="I12" s="19"/>
      <c r="J12" s="19"/>
      <c r="K12" s="19"/>
      <c r="L12" s="19"/>
      <c r="M12" s="55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</row>
    <row r="13" spans="1:29" s="9" customFormat="1" ht="12.75" customHeight="1" x14ac:dyDescent="0.25">
      <c r="A13" s="135" t="s">
        <v>11</v>
      </c>
      <c r="B13" s="149" t="s">
        <v>56</v>
      </c>
      <c r="C13" s="120"/>
      <c r="D13" s="77">
        <v>42003</v>
      </c>
      <c r="E13" s="144"/>
      <c r="F13" s="144"/>
      <c r="G13" s="144"/>
      <c r="H13" s="18"/>
      <c r="I13" s="166"/>
      <c r="J13" s="166"/>
      <c r="K13" s="129"/>
      <c r="L13" s="171"/>
      <c r="M13" s="79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</row>
    <row r="14" spans="1:29" x14ac:dyDescent="0.25">
      <c r="A14" s="135" t="s">
        <v>11</v>
      </c>
      <c r="B14" s="5" t="s">
        <v>112</v>
      </c>
      <c r="C14" s="120">
        <v>6000</v>
      </c>
      <c r="D14" s="77">
        <v>42003</v>
      </c>
      <c r="E14" s="170"/>
      <c r="F14" s="15"/>
      <c r="G14" s="170"/>
      <c r="H14" s="34"/>
      <c r="I14" s="768"/>
      <c r="J14" s="768"/>
      <c r="K14" s="768"/>
      <c r="L14" s="768"/>
      <c r="M14" s="76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25">
      <c r="A15" s="135" t="s">
        <v>11</v>
      </c>
      <c r="B15" s="120" t="s">
        <v>122</v>
      </c>
      <c r="C15" s="148">
        <v>20000</v>
      </c>
      <c r="D15" s="77">
        <v>42003</v>
      </c>
      <c r="E15" s="135"/>
      <c r="F15" s="135"/>
      <c r="G15" s="135" t="s">
        <v>123</v>
      </c>
      <c r="H15" s="34"/>
      <c r="I15" s="769"/>
      <c r="J15" s="769"/>
      <c r="K15" s="133"/>
      <c r="L15" s="133"/>
      <c r="M15" s="16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" customHeight="1" x14ac:dyDescent="0.25">
      <c r="A16" s="135" t="s">
        <v>11</v>
      </c>
      <c r="B16" s="120" t="s">
        <v>124</v>
      </c>
      <c r="C16" s="148">
        <v>18000</v>
      </c>
      <c r="D16" s="77">
        <v>42003</v>
      </c>
      <c r="E16" s="125"/>
      <c r="F16" s="135"/>
      <c r="G16" s="135"/>
      <c r="H16" s="34"/>
      <c r="I16" s="770"/>
      <c r="J16" s="770"/>
      <c r="K16" s="139"/>
      <c r="L16" s="140"/>
      <c r="M16" s="77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135" t="s">
        <v>11</v>
      </c>
      <c r="B17" s="75" t="s">
        <v>113</v>
      </c>
      <c r="C17" s="148">
        <v>9500</v>
      </c>
      <c r="D17" s="77">
        <v>42003</v>
      </c>
      <c r="E17" s="125"/>
      <c r="F17" s="5"/>
      <c r="G17" s="135"/>
      <c r="H17" s="34"/>
      <c r="I17" s="769"/>
      <c r="J17" s="769"/>
      <c r="K17" s="133"/>
      <c r="L17" s="133"/>
      <c r="M17" s="77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7.25" customHeight="1" x14ac:dyDescent="0.25">
      <c r="A18" s="135" t="s">
        <v>11</v>
      </c>
      <c r="B18" s="75" t="s">
        <v>113</v>
      </c>
      <c r="C18" s="148">
        <v>6000</v>
      </c>
      <c r="D18" s="77">
        <v>42004</v>
      </c>
      <c r="E18" s="125"/>
      <c r="F18" s="5"/>
      <c r="G18" s="135"/>
      <c r="H18" s="34"/>
      <c r="I18" s="168"/>
      <c r="J18" s="168"/>
      <c r="K18" s="133"/>
      <c r="L18" s="133"/>
      <c r="M18" s="169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3.5" customHeight="1" x14ac:dyDescent="0.25">
      <c r="A19" s="135" t="s">
        <v>11</v>
      </c>
      <c r="B19" s="147" t="s">
        <v>125</v>
      </c>
      <c r="C19" s="148">
        <v>2500</v>
      </c>
      <c r="D19" s="77">
        <v>42004</v>
      </c>
      <c r="E19" s="135"/>
      <c r="F19" s="135"/>
      <c r="G19" s="61"/>
      <c r="H19" s="34"/>
      <c r="I19" s="768"/>
      <c r="J19" s="768"/>
      <c r="K19" s="56"/>
      <c r="L19" s="56"/>
      <c r="M19" s="80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3.5" customHeight="1" x14ac:dyDescent="0.25">
      <c r="A20" s="135" t="s">
        <v>11</v>
      </c>
      <c r="B20" s="160" t="s">
        <v>130</v>
      </c>
      <c r="C20" s="161">
        <v>0</v>
      </c>
      <c r="D20" s="77">
        <v>42000</v>
      </c>
      <c r="E20" s="135"/>
      <c r="F20" s="53"/>
      <c r="G20" s="135" t="s">
        <v>131</v>
      </c>
      <c r="H20" s="34"/>
      <c r="I20" s="167"/>
      <c r="J20" s="167"/>
      <c r="K20" s="56"/>
      <c r="L20" s="56"/>
      <c r="M20" s="8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3.5" customHeight="1" x14ac:dyDescent="0.25">
      <c r="A21" s="135" t="s">
        <v>11</v>
      </c>
      <c r="B21" s="5" t="s">
        <v>137</v>
      </c>
      <c r="C21" s="42">
        <v>0</v>
      </c>
      <c r="D21" s="142">
        <v>41999</v>
      </c>
      <c r="E21" s="135"/>
      <c r="F21" s="135"/>
      <c r="G21" s="135"/>
      <c r="H21" s="34"/>
      <c r="I21" s="167"/>
      <c r="J21" s="167"/>
      <c r="K21" s="56"/>
      <c r="L21" s="56"/>
      <c r="M21" s="80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3.5" customHeight="1" x14ac:dyDescent="0.25">
      <c r="A22" s="135"/>
      <c r="B22" s="41"/>
      <c r="C22" s="42">
        <f>SUM(C6:C21)</f>
        <v>140600</v>
      </c>
      <c r="D22" s="142"/>
      <c r="E22" s="135"/>
      <c r="F22" s="5"/>
      <c r="G22" s="135"/>
      <c r="H22" s="34"/>
      <c r="I22" s="167"/>
      <c r="J22" s="167"/>
      <c r="K22" s="56"/>
      <c r="L22" s="56"/>
      <c r="M22" s="80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3.5" customHeight="1" x14ac:dyDescent="0.25">
      <c r="A23" s="135"/>
      <c r="B23" s="41"/>
      <c r="C23" s="42"/>
      <c r="D23" s="142"/>
      <c r="E23" s="135"/>
      <c r="F23" s="5"/>
      <c r="G23" s="135"/>
      <c r="H23" s="34"/>
      <c r="I23" s="167"/>
      <c r="J23" s="167"/>
      <c r="K23" s="56"/>
      <c r="L23" s="56"/>
      <c r="M23" s="80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3.5" customHeight="1" x14ac:dyDescent="0.25">
      <c r="A24" s="131"/>
      <c r="B24" s="126"/>
      <c r="C24" s="127"/>
      <c r="D24" s="128"/>
      <c r="E24" s="131"/>
      <c r="F24" s="7"/>
      <c r="G24" s="131"/>
      <c r="H24" s="34"/>
      <c r="I24" s="167"/>
      <c r="J24" s="167"/>
      <c r="K24" s="56"/>
      <c r="L24" s="56"/>
      <c r="M24" s="8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3.5" customHeight="1" x14ac:dyDescent="0.25">
      <c r="A25" s="131"/>
      <c r="B25" s="126"/>
      <c r="C25" s="127"/>
      <c r="D25" s="128"/>
      <c r="E25" s="131"/>
      <c r="F25" s="7"/>
      <c r="G25" s="131"/>
      <c r="H25" s="34"/>
      <c r="I25" s="167"/>
      <c r="J25" s="167"/>
      <c r="K25" s="56"/>
      <c r="L25" s="56"/>
      <c r="M25" s="8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3.5" customHeight="1" x14ac:dyDescent="0.25">
      <c r="A26" s="131"/>
      <c r="B26" s="126"/>
      <c r="C26" s="127"/>
      <c r="D26" s="128"/>
      <c r="E26" s="131"/>
      <c r="F26" s="7"/>
      <c r="G26" s="131"/>
      <c r="H26" s="34"/>
      <c r="I26" s="167"/>
      <c r="J26" s="167"/>
      <c r="K26" s="56"/>
      <c r="L26" s="56"/>
      <c r="M26" s="80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3.5" customHeight="1" x14ac:dyDescent="0.25">
      <c r="A27" s="131"/>
      <c r="B27" s="126"/>
      <c r="C27" s="127"/>
      <c r="D27" s="128"/>
      <c r="E27" s="131"/>
      <c r="F27" s="7"/>
      <c r="G27" s="131"/>
      <c r="H27" s="34"/>
      <c r="I27" s="167"/>
      <c r="J27" s="167"/>
      <c r="K27" s="56"/>
      <c r="L27" s="56"/>
      <c r="M27" s="80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3.5" customHeight="1" x14ac:dyDescent="0.25">
      <c r="A28" s="131"/>
      <c r="B28" s="126"/>
      <c r="C28" s="127"/>
      <c r="D28" s="128"/>
      <c r="E28" s="131"/>
      <c r="F28" s="7"/>
      <c r="G28" s="131"/>
      <c r="H28" s="34"/>
      <c r="I28" s="167"/>
      <c r="J28" s="167"/>
      <c r="K28" s="56"/>
      <c r="L28" s="56"/>
      <c r="M28" s="80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3.5" customHeight="1" x14ac:dyDescent="0.25">
      <c r="A29" s="131"/>
      <c r="B29" s="126"/>
      <c r="C29" s="127"/>
      <c r="D29" s="128"/>
      <c r="E29" s="131"/>
      <c r="F29" s="7"/>
      <c r="G29" s="131"/>
      <c r="H29" s="34"/>
      <c r="I29" s="23"/>
      <c r="J29" s="23"/>
      <c r="K29" s="23"/>
      <c r="L29" s="23"/>
      <c r="M29" s="2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3.5" customHeight="1" x14ac:dyDescent="0.25">
      <c r="A30" s="765" t="s">
        <v>46</v>
      </c>
      <c r="B30" s="765"/>
      <c r="C30" s="765"/>
      <c r="D30" s="765"/>
      <c r="E30" s="765"/>
      <c r="F30" s="765"/>
      <c r="G30" s="765"/>
      <c r="H30" s="81"/>
      <c r="I30" s="23"/>
      <c r="J30" s="23"/>
      <c r="K30" s="23"/>
      <c r="L30" s="23"/>
      <c r="M30" s="2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A31" s="124">
        <v>41931</v>
      </c>
      <c r="B31" s="765" t="s">
        <v>107</v>
      </c>
      <c r="C31" s="765"/>
      <c r="D31" s="765"/>
      <c r="E31" s="765"/>
      <c r="F31" s="165"/>
      <c r="G31" s="141"/>
      <c r="H31" s="81"/>
      <c r="I31" s="23"/>
      <c r="J31" s="23"/>
      <c r="K31" s="23"/>
      <c r="L31" s="23"/>
      <c r="M31" s="2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25">
      <c r="A32" s="170" t="s">
        <v>7</v>
      </c>
      <c r="B32" s="170" t="s">
        <v>8</v>
      </c>
      <c r="C32" s="170" t="s">
        <v>9</v>
      </c>
      <c r="D32" s="170" t="s">
        <v>10</v>
      </c>
      <c r="E32" s="170" t="s">
        <v>21</v>
      </c>
      <c r="F32" s="15"/>
      <c r="G32" s="141"/>
      <c r="H32" s="81"/>
      <c r="I32" s="23"/>
      <c r="J32" s="23"/>
      <c r="K32" s="23"/>
      <c r="L32" s="23"/>
      <c r="M32" s="2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25">
      <c r="A33" s="156" t="s">
        <v>24</v>
      </c>
      <c r="B33" s="149">
        <v>71593</v>
      </c>
      <c r="C33" s="149">
        <v>18400</v>
      </c>
      <c r="D33" s="157">
        <v>42003</v>
      </c>
      <c r="E33" s="154"/>
      <c r="F33" s="154"/>
      <c r="G33" s="149"/>
      <c r="H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x14ac:dyDescent="0.25">
      <c r="A34" s="766" t="s">
        <v>126</v>
      </c>
      <c r="B34" s="767"/>
      <c r="C34" s="158">
        <f>SUM(C33:C33)</f>
        <v>18400</v>
      </c>
      <c r="D34" s="154"/>
      <c r="E34" s="154"/>
      <c r="F34" s="154"/>
      <c r="G34" s="149"/>
      <c r="H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25"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5"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25"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25">
      <c r="M39" s="1"/>
      <c r="N39" s="1"/>
      <c r="O39" s="1"/>
      <c r="P39" s="1"/>
      <c r="Q39" s="1"/>
      <c r="R39" s="1"/>
      <c r="S39" s="1"/>
      <c r="T39" s="1"/>
      <c r="U39" s="1"/>
    </row>
    <row r="40" spans="1:29" x14ac:dyDescent="0.25">
      <c r="M40" s="1"/>
      <c r="N40" s="1"/>
      <c r="O40" s="1"/>
      <c r="P40" s="1"/>
      <c r="Q40" s="1"/>
      <c r="R40" s="1"/>
      <c r="S40" s="1"/>
      <c r="T40" s="1"/>
      <c r="U40" s="1"/>
    </row>
    <row r="41" spans="1:29" x14ac:dyDescent="0.25">
      <c r="M41" s="1"/>
      <c r="N41" s="1"/>
      <c r="O41" s="1"/>
      <c r="P41" s="1"/>
      <c r="Q41" s="1"/>
      <c r="R41" s="1"/>
      <c r="S41" s="1"/>
      <c r="T41" s="1"/>
      <c r="U41" s="1"/>
    </row>
    <row r="42" spans="1:29" x14ac:dyDescent="0.25">
      <c r="M42" s="1"/>
      <c r="N42" s="1"/>
      <c r="O42" s="1"/>
      <c r="P42" s="1"/>
      <c r="Q42" s="1"/>
      <c r="R42" s="1"/>
      <c r="S42" s="1"/>
      <c r="T42" s="1"/>
      <c r="U42" s="1"/>
    </row>
    <row r="43" spans="1:29" x14ac:dyDescent="0.25">
      <c r="M43" s="1"/>
      <c r="N43" s="1"/>
      <c r="O43" s="1"/>
      <c r="P43" s="1"/>
      <c r="Q43" s="1"/>
      <c r="R43" s="1"/>
      <c r="S43" s="1"/>
      <c r="T43" s="1"/>
      <c r="U43" s="1"/>
    </row>
    <row r="44" spans="1:29" x14ac:dyDescent="0.25">
      <c r="M44" s="1"/>
      <c r="N44" s="1"/>
      <c r="O44" s="1"/>
      <c r="P44" s="1"/>
      <c r="Q44" s="1"/>
      <c r="R44" s="1"/>
      <c r="S44" s="1"/>
      <c r="T44" s="1"/>
      <c r="U44" s="1"/>
    </row>
    <row r="45" spans="1:29" x14ac:dyDescent="0.25">
      <c r="M45" s="1"/>
      <c r="N45" s="1"/>
      <c r="O45" s="1"/>
      <c r="P45" s="1"/>
      <c r="Q45" s="1"/>
      <c r="R45" s="1"/>
      <c r="S45" s="1"/>
      <c r="T45" s="1"/>
      <c r="U45" s="1"/>
    </row>
    <row r="46" spans="1:29" x14ac:dyDescent="0.25">
      <c r="M46" s="1"/>
      <c r="N46" s="1"/>
      <c r="O46" s="1"/>
      <c r="P46" s="1"/>
      <c r="Q46" s="1"/>
      <c r="R46" s="1"/>
      <c r="S46" s="1"/>
      <c r="T46" s="1"/>
      <c r="U46" s="1"/>
    </row>
    <row r="47" spans="1:29" x14ac:dyDescent="0.25">
      <c r="M47" s="1"/>
      <c r="N47" s="1"/>
      <c r="O47" s="1"/>
      <c r="P47" s="1"/>
      <c r="Q47" s="1"/>
      <c r="R47" s="1"/>
      <c r="S47" s="1"/>
      <c r="T47" s="1"/>
      <c r="U47" s="1"/>
    </row>
    <row r="48" spans="1:29" x14ac:dyDescent="0.25">
      <c r="M48" s="1"/>
      <c r="N48" s="1"/>
      <c r="O48" s="1"/>
      <c r="P48" s="1"/>
      <c r="Q48" s="1"/>
      <c r="R48" s="1"/>
      <c r="S48" s="1"/>
      <c r="T48" s="1"/>
      <c r="U48" s="1"/>
    </row>
    <row r="49" spans="13:21" x14ac:dyDescent="0.25">
      <c r="M49" s="1"/>
      <c r="N49" s="1"/>
      <c r="O49" s="1"/>
      <c r="P49" s="1"/>
      <c r="Q49" s="1"/>
      <c r="R49" s="1"/>
      <c r="S49" s="1"/>
      <c r="T49" s="1"/>
      <c r="U49" s="1"/>
    </row>
    <row r="50" spans="13:21" x14ac:dyDescent="0.25">
      <c r="M50" s="1"/>
      <c r="N50" s="1"/>
      <c r="O50" s="1"/>
      <c r="P50" s="1"/>
      <c r="Q50" s="1"/>
      <c r="R50" s="1"/>
      <c r="S50" s="1"/>
      <c r="T50" s="1"/>
      <c r="U50" s="1"/>
    </row>
    <row r="51" spans="13:21" x14ac:dyDescent="0.25">
      <c r="M51" s="1"/>
      <c r="N51" s="1"/>
      <c r="O51" s="1"/>
      <c r="P51" s="1"/>
      <c r="Q51" s="1"/>
      <c r="R51" s="1"/>
      <c r="S51" s="1"/>
      <c r="T51" s="1"/>
      <c r="U51" s="1"/>
    </row>
    <row r="52" spans="13:21" x14ac:dyDescent="0.25">
      <c r="M52" s="1"/>
      <c r="N52" s="1"/>
      <c r="O52" s="1"/>
      <c r="P52" s="1"/>
      <c r="Q52" s="1"/>
      <c r="R52" s="1"/>
      <c r="S52" s="1"/>
      <c r="T52" s="1"/>
      <c r="U52" s="1"/>
    </row>
    <row r="53" spans="13:21" x14ac:dyDescent="0.25">
      <c r="M53" s="1"/>
      <c r="N53" s="1"/>
      <c r="O53" s="1"/>
      <c r="P53" s="1"/>
      <c r="Q53" s="1"/>
      <c r="R53" s="1"/>
      <c r="S53" s="1"/>
      <c r="T53" s="1"/>
      <c r="U53" s="1"/>
    </row>
    <row r="54" spans="13:21" x14ac:dyDescent="0.25">
      <c r="M54" s="1"/>
      <c r="N54" s="1"/>
      <c r="O54" s="1"/>
      <c r="P54" s="1"/>
      <c r="Q54" s="1"/>
      <c r="R54" s="1"/>
      <c r="S54" s="1"/>
      <c r="T54" s="1"/>
      <c r="U54" s="1"/>
    </row>
    <row r="55" spans="13:21" x14ac:dyDescent="0.25">
      <c r="M55" s="1"/>
      <c r="N55" s="1"/>
      <c r="O55" s="1"/>
      <c r="P55" s="1"/>
      <c r="Q55" s="1"/>
      <c r="R55" s="1"/>
      <c r="S55" s="1"/>
      <c r="T55" s="1"/>
      <c r="U55" s="1"/>
    </row>
    <row r="56" spans="13:21" x14ac:dyDescent="0.25">
      <c r="M56" s="1"/>
      <c r="N56" s="1"/>
      <c r="O56" s="1"/>
      <c r="P56" s="1"/>
      <c r="Q56" s="1"/>
      <c r="R56" s="1"/>
      <c r="S56" s="1"/>
      <c r="T56" s="1"/>
      <c r="U56" s="1"/>
    </row>
    <row r="57" spans="13:21" x14ac:dyDescent="0.25">
      <c r="M57" s="1"/>
      <c r="N57" s="1"/>
      <c r="O57" s="1"/>
      <c r="P57" s="1"/>
      <c r="Q57" s="1"/>
      <c r="R57" s="1"/>
      <c r="S57" s="1"/>
      <c r="T57" s="1"/>
      <c r="U57" s="1"/>
    </row>
    <row r="58" spans="13:21" x14ac:dyDescent="0.25">
      <c r="M58" s="1"/>
      <c r="N58" s="1"/>
      <c r="O58" s="1"/>
      <c r="P58" s="1"/>
      <c r="Q58" s="1"/>
      <c r="R58" s="1"/>
      <c r="S58" s="1"/>
      <c r="T58" s="1"/>
      <c r="U58" s="1"/>
    </row>
    <row r="59" spans="13:21" x14ac:dyDescent="0.25">
      <c r="M59" s="1"/>
      <c r="N59" s="1"/>
      <c r="O59" s="1"/>
      <c r="P59" s="1"/>
      <c r="Q59" s="1"/>
      <c r="R59" s="1"/>
      <c r="S59" s="1"/>
      <c r="T59" s="1"/>
      <c r="U59" s="1"/>
    </row>
    <row r="60" spans="13:21" x14ac:dyDescent="0.25">
      <c r="M60" s="1"/>
      <c r="N60" s="1"/>
      <c r="O60" s="1"/>
      <c r="P60" s="1"/>
      <c r="Q60" s="1"/>
      <c r="R60" s="1"/>
      <c r="S60" s="1"/>
      <c r="T60" s="1"/>
      <c r="U60" s="1"/>
    </row>
    <row r="61" spans="13:21" x14ac:dyDescent="0.25">
      <c r="M61" s="1"/>
      <c r="N61" s="1"/>
      <c r="O61" s="1"/>
      <c r="P61" s="1"/>
      <c r="Q61" s="1"/>
      <c r="R61" s="1"/>
      <c r="S61" s="1"/>
      <c r="T61" s="1"/>
      <c r="U61" s="1"/>
    </row>
    <row r="62" spans="13:21" x14ac:dyDescent="0.25">
      <c r="M62" s="1"/>
      <c r="N62" s="1"/>
      <c r="O62" s="1"/>
      <c r="P62" s="1"/>
      <c r="Q62" s="1"/>
      <c r="R62" s="1"/>
      <c r="S62" s="1"/>
      <c r="T62" s="1"/>
      <c r="U62" s="1"/>
    </row>
    <row r="63" spans="13:21" x14ac:dyDescent="0.25">
      <c r="M63" s="1"/>
      <c r="N63" s="1"/>
      <c r="O63" s="1"/>
      <c r="P63" s="1"/>
      <c r="Q63" s="1"/>
      <c r="R63" s="1"/>
      <c r="S63" s="1"/>
      <c r="T63" s="1"/>
      <c r="U63" s="1"/>
    </row>
    <row r="64" spans="13:21" x14ac:dyDescent="0.25">
      <c r="M64" s="1"/>
      <c r="N64" s="1"/>
      <c r="O64" s="1"/>
      <c r="P64" s="1"/>
      <c r="Q64" s="1"/>
      <c r="R64" s="1"/>
      <c r="S64" s="1"/>
      <c r="T64" s="1"/>
      <c r="U64" s="1"/>
    </row>
    <row r="65" spans="13:21" x14ac:dyDescent="0.25">
      <c r="M65" s="1"/>
      <c r="N65" s="1"/>
      <c r="O65" s="1"/>
      <c r="P65" s="1"/>
      <c r="Q65" s="1"/>
      <c r="R65" s="1"/>
      <c r="S65" s="1"/>
      <c r="T65" s="1"/>
      <c r="U65" s="1"/>
    </row>
  </sheetData>
  <mergeCells count="15">
    <mergeCell ref="I7:M7"/>
    <mergeCell ref="A1:G1"/>
    <mergeCell ref="A2:G2"/>
    <mergeCell ref="A3:G3"/>
    <mergeCell ref="B4:E4"/>
    <mergeCell ref="I5:M5"/>
    <mergeCell ref="A30:G30"/>
    <mergeCell ref="B31:E31"/>
    <mergeCell ref="A34:B34"/>
    <mergeCell ref="I14:M14"/>
    <mergeCell ref="I15:J15"/>
    <mergeCell ref="I16:J16"/>
    <mergeCell ref="M16:M17"/>
    <mergeCell ref="I17:J17"/>
    <mergeCell ref="I19:J19"/>
  </mergeCells>
  <pageMargins left="0.7" right="0.2" top="1" bottom="0.25" header="0.3" footer="0.3"/>
  <pageSetup paperSize="9" scale="95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88"/>
  <sheetViews>
    <sheetView topLeftCell="A4" workbookViewId="0">
      <selection activeCell="E16" sqref="E16"/>
    </sheetView>
  </sheetViews>
  <sheetFormatPr defaultRowHeight="15" x14ac:dyDescent="0.25"/>
  <cols>
    <col min="1" max="1" width="9" style="1" customWidth="1"/>
    <col min="2" max="2" width="14.42578125" style="4" customWidth="1"/>
    <col min="3" max="3" width="9" style="1" customWidth="1"/>
    <col min="4" max="4" width="8.42578125" style="1" customWidth="1"/>
    <col min="5" max="5" width="12.5703125" style="1" customWidth="1"/>
    <col min="6" max="6" width="13.85546875" style="1" customWidth="1"/>
    <col min="7" max="7" width="12.5703125" style="4" customWidth="1"/>
    <col min="8" max="8" width="10.140625" style="1" customWidth="1"/>
    <col min="9" max="10" width="10.28515625" style="1" customWidth="1"/>
    <col min="11" max="12" width="8.85546875" style="1" customWidth="1"/>
    <col min="13" max="13" width="32.5703125" customWidth="1"/>
  </cols>
  <sheetData>
    <row r="1" spans="1:29" ht="13.5" customHeight="1" x14ac:dyDescent="0.25">
      <c r="A1" s="773" t="s">
        <v>5</v>
      </c>
      <c r="B1" s="773"/>
      <c r="C1" s="773"/>
      <c r="D1" s="773"/>
      <c r="E1" s="773"/>
      <c r="F1" s="773"/>
      <c r="G1" s="773"/>
      <c r="H1" s="18"/>
      <c r="I1" s="18"/>
      <c r="J1" s="18"/>
      <c r="K1" s="18"/>
      <c r="L1" s="18"/>
      <c r="M1" s="23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9" ht="11.25" customHeight="1" x14ac:dyDescent="0.25">
      <c r="A2" s="773" t="s">
        <v>6</v>
      </c>
      <c r="B2" s="773"/>
      <c r="C2" s="773"/>
      <c r="D2" s="773"/>
      <c r="E2" s="773"/>
      <c r="F2" s="773"/>
      <c r="G2" s="773"/>
      <c r="H2" s="18"/>
      <c r="I2" s="18"/>
      <c r="J2" s="18"/>
      <c r="K2" s="18"/>
      <c r="L2" s="18"/>
      <c r="M2" s="23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9" ht="10.5" customHeight="1" x14ac:dyDescent="0.25">
      <c r="A3" s="765" t="s">
        <v>18</v>
      </c>
      <c r="B3" s="765"/>
      <c r="C3" s="765"/>
      <c r="D3" s="765"/>
      <c r="E3" s="765"/>
      <c r="F3" s="765"/>
      <c r="G3" s="765"/>
      <c r="H3" s="18"/>
      <c r="I3" s="18"/>
      <c r="J3" s="18"/>
      <c r="K3" s="18"/>
      <c r="L3" s="18"/>
      <c r="M3" s="23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9" s="9" customFormat="1" ht="15.75" customHeight="1" x14ac:dyDescent="0.2">
      <c r="A4" s="124">
        <v>41931</v>
      </c>
      <c r="B4" s="765" t="s">
        <v>107</v>
      </c>
      <c r="C4" s="765"/>
      <c r="D4" s="765"/>
      <c r="E4" s="765"/>
      <c r="F4" s="172"/>
      <c r="G4" s="141"/>
      <c r="H4" s="18"/>
      <c r="I4" s="18"/>
      <c r="J4" s="18"/>
      <c r="K4" s="18"/>
      <c r="L4" s="18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</row>
    <row r="5" spans="1:29" s="9" customFormat="1" ht="12.75" customHeight="1" x14ac:dyDescent="0.2">
      <c r="A5" s="177" t="s">
        <v>7</v>
      </c>
      <c r="B5" s="177" t="s">
        <v>8</v>
      </c>
      <c r="C5" s="177" t="s">
        <v>9</v>
      </c>
      <c r="D5" s="177" t="s">
        <v>10</v>
      </c>
      <c r="E5" s="177" t="s">
        <v>21</v>
      </c>
      <c r="F5" s="15" t="s">
        <v>62</v>
      </c>
      <c r="G5" s="177"/>
      <c r="H5" s="18"/>
      <c r="I5" s="774" t="s">
        <v>128</v>
      </c>
      <c r="J5" s="774"/>
      <c r="K5" s="774"/>
      <c r="L5" s="774"/>
      <c r="M5" s="774"/>
      <c r="N5" s="23"/>
      <c r="O5" s="23"/>
      <c r="P5" s="23"/>
      <c r="Q5" s="23"/>
      <c r="R5" s="23"/>
      <c r="S5" s="23"/>
      <c r="T5" s="23"/>
      <c r="U5" s="23"/>
      <c r="V5" s="23"/>
      <c r="W5" s="23"/>
    </row>
    <row r="6" spans="1:29" s="9" customFormat="1" ht="12.75" customHeight="1" x14ac:dyDescent="0.2">
      <c r="A6" s="135" t="s">
        <v>11</v>
      </c>
      <c r="B6" s="134" t="s">
        <v>115</v>
      </c>
      <c r="C6" s="76">
        <v>10000</v>
      </c>
      <c r="D6" s="77">
        <v>41980</v>
      </c>
      <c r="E6" s="69"/>
      <c r="F6" s="68" t="s">
        <v>133</v>
      </c>
      <c r="G6" s="135"/>
      <c r="H6" s="18"/>
      <c r="I6" s="15" t="s">
        <v>7</v>
      </c>
      <c r="J6" s="15" t="s">
        <v>47</v>
      </c>
      <c r="K6" s="15" t="s">
        <v>48</v>
      </c>
      <c r="L6" s="15" t="s">
        <v>32</v>
      </c>
      <c r="M6" s="15" t="s">
        <v>23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s="9" customFormat="1" ht="12.75" customHeight="1" x14ac:dyDescent="0.2">
      <c r="A7" s="135" t="s">
        <v>11</v>
      </c>
      <c r="B7" s="75" t="s">
        <v>119</v>
      </c>
      <c r="C7" s="76">
        <v>41500</v>
      </c>
      <c r="D7" s="77">
        <v>41983</v>
      </c>
      <c r="E7" s="69"/>
      <c r="F7" s="68" t="s">
        <v>65</v>
      </c>
      <c r="G7" s="135" t="s">
        <v>120</v>
      </c>
      <c r="H7" s="18"/>
      <c r="I7" s="16" t="s">
        <v>11</v>
      </c>
      <c r="J7" s="16">
        <v>972057</v>
      </c>
      <c r="K7" s="25">
        <v>343857</v>
      </c>
      <c r="L7" s="25">
        <f t="shared" ref="L7:L12" si="0">+J7-K7</f>
        <v>628200</v>
      </c>
      <c r="M7" s="21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s="9" customFormat="1" ht="12.75" customHeight="1" x14ac:dyDescent="0.2">
      <c r="A8" s="135" t="s">
        <v>11</v>
      </c>
      <c r="B8" s="75" t="s">
        <v>96</v>
      </c>
      <c r="C8" s="76">
        <v>15000</v>
      </c>
      <c r="D8" s="77">
        <v>41987</v>
      </c>
      <c r="E8" s="69"/>
      <c r="F8" s="14" t="s">
        <v>74</v>
      </c>
      <c r="G8" s="135"/>
      <c r="H8" s="18"/>
      <c r="I8" s="16" t="s">
        <v>17</v>
      </c>
      <c r="J8" s="16">
        <v>163956</v>
      </c>
      <c r="K8" s="16">
        <v>163956</v>
      </c>
      <c r="L8" s="25">
        <f t="shared" si="0"/>
        <v>0</v>
      </c>
      <c r="M8" s="36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s="9" customFormat="1" ht="12.75" customHeight="1" x14ac:dyDescent="0.25">
      <c r="A9" s="135" t="s">
        <v>11</v>
      </c>
      <c r="B9" s="13" t="s">
        <v>109</v>
      </c>
      <c r="C9" s="76">
        <v>10000</v>
      </c>
      <c r="D9" s="77">
        <v>41991</v>
      </c>
      <c r="E9" s="69"/>
      <c r="F9" s="68" t="s">
        <v>133</v>
      </c>
      <c r="G9" s="135" t="s">
        <v>110</v>
      </c>
      <c r="H9" s="18"/>
      <c r="I9" s="16" t="s">
        <v>24</v>
      </c>
      <c r="J9" s="16">
        <v>201121</v>
      </c>
      <c r="K9" s="25">
        <v>72322</v>
      </c>
      <c r="L9" s="25">
        <f t="shared" si="0"/>
        <v>128799</v>
      </c>
      <c r="M9" s="22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9" customFormat="1" ht="12.75" customHeight="1" x14ac:dyDescent="0.2">
      <c r="A10" s="135" t="s">
        <v>11</v>
      </c>
      <c r="B10" s="5" t="s">
        <v>111</v>
      </c>
      <c r="C10" s="76">
        <v>15000</v>
      </c>
      <c r="D10" s="77">
        <v>41991</v>
      </c>
      <c r="E10" s="130"/>
      <c r="F10" s="14" t="s">
        <v>98</v>
      </c>
      <c r="G10" s="135"/>
      <c r="H10" s="18"/>
      <c r="I10" s="16" t="s">
        <v>42</v>
      </c>
      <c r="J10" s="16">
        <v>36476</v>
      </c>
      <c r="K10" s="16">
        <v>36476</v>
      </c>
      <c r="L10" s="25">
        <f t="shared" si="0"/>
        <v>0</v>
      </c>
      <c r="M10" s="37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s="9" customFormat="1" ht="12.75" customHeight="1" x14ac:dyDescent="0.2">
      <c r="A11" s="135" t="s">
        <v>11</v>
      </c>
      <c r="B11" s="5" t="s">
        <v>112</v>
      </c>
      <c r="C11" s="76">
        <v>12000</v>
      </c>
      <c r="D11" s="77">
        <v>41991</v>
      </c>
      <c r="E11" s="130"/>
      <c r="F11" s="14" t="s">
        <v>98</v>
      </c>
      <c r="G11" s="135"/>
      <c r="H11" s="18"/>
      <c r="I11" s="16" t="s">
        <v>29</v>
      </c>
      <c r="J11" s="16">
        <v>92202</v>
      </c>
      <c r="K11" s="16">
        <v>92202</v>
      </c>
      <c r="L11" s="25">
        <f t="shared" si="0"/>
        <v>0</v>
      </c>
      <c r="M11" s="22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</row>
    <row r="12" spans="1:29" s="9" customFormat="1" ht="12.75" customHeight="1" x14ac:dyDescent="0.2">
      <c r="A12" s="135" t="s">
        <v>11</v>
      </c>
      <c r="B12" s="75" t="s">
        <v>113</v>
      </c>
      <c r="C12" s="76">
        <v>9500</v>
      </c>
      <c r="D12" s="77">
        <v>41991</v>
      </c>
      <c r="E12" s="130"/>
      <c r="F12" s="14" t="s">
        <v>98</v>
      </c>
      <c r="G12" s="135"/>
      <c r="H12" s="18"/>
      <c r="I12" s="16"/>
      <c r="J12" s="16"/>
      <c r="K12" s="25">
        <v>0</v>
      </c>
      <c r="L12" s="25">
        <f t="shared" si="0"/>
        <v>0</v>
      </c>
      <c r="M12" s="60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</row>
    <row r="13" spans="1:29" s="9" customFormat="1" ht="12.75" customHeight="1" x14ac:dyDescent="0.25">
      <c r="A13" s="135" t="s">
        <v>11</v>
      </c>
      <c r="B13" s="13" t="s">
        <v>134</v>
      </c>
      <c r="C13" s="76">
        <v>16018</v>
      </c>
      <c r="D13" s="77">
        <v>41993</v>
      </c>
      <c r="E13" s="130"/>
      <c r="F13" s="14"/>
      <c r="G13" s="135" t="s">
        <v>135</v>
      </c>
      <c r="H13" s="18"/>
      <c r="I13" s="16"/>
      <c r="J13" s="16"/>
      <c r="K13" s="16"/>
      <c r="L13" s="16"/>
      <c r="M13" s="22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</row>
    <row r="14" spans="1:29" s="9" customFormat="1" ht="12.75" customHeight="1" x14ac:dyDescent="0.25">
      <c r="A14" s="135" t="s">
        <v>11</v>
      </c>
      <c r="B14" s="13" t="s">
        <v>114</v>
      </c>
      <c r="C14" s="76">
        <v>20000</v>
      </c>
      <c r="D14" s="77">
        <v>41993</v>
      </c>
      <c r="E14" s="130"/>
      <c r="F14" s="14" t="s">
        <v>74</v>
      </c>
      <c r="G14" s="14"/>
      <c r="H14" s="18"/>
      <c r="I14" s="15" t="s">
        <v>12</v>
      </c>
      <c r="J14" s="15">
        <f>SUM(J7:J13)</f>
        <v>1465812</v>
      </c>
      <c r="K14" s="27">
        <f>SUM(K7:K13)</f>
        <v>708813</v>
      </c>
      <c r="L14" s="27">
        <f>SUM(L7:L13)</f>
        <v>756999</v>
      </c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</row>
    <row r="15" spans="1:29" s="9" customFormat="1" ht="12.75" customHeight="1" x14ac:dyDescent="0.25">
      <c r="A15" s="135" t="s">
        <v>11</v>
      </c>
      <c r="B15" s="13" t="s">
        <v>56</v>
      </c>
      <c r="C15" s="76">
        <v>3000</v>
      </c>
      <c r="D15" s="77">
        <v>41995</v>
      </c>
      <c r="E15" s="69"/>
      <c r="F15" s="14" t="s">
        <v>74</v>
      </c>
      <c r="G15" s="135"/>
      <c r="H15" s="18"/>
      <c r="I15" s="175"/>
      <c r="J15" s="175"/>
      <c r="K15" s="175"/>
      <c r="L15" s="175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s="9" customFormat="1" ht="12.75" customHeight="1" x14ac:dyDescent="0.2">
      <c r="A16" s="135" t="s">
        <v>11</v>
      </c>
      <c r="B16" s="5" t="s">
        <v>116</v>
      </c>
      <c r="C16" s="76">
        <v>15000</v>
      </c>
      <c r="D16" s="77">
        <v>41998</v>
      </c>
      <c r="E16" s="69"/>
      <c r="F16" s="14" t="s">
        <v>98</v>
      </c>
      <c r="G16" s="135"/>
      <c r="H16" s="18"/>
      <c r="I16" s="774" t="s">
        <v>127</v>
      </c>
      <c r="J16" s="774"/>
      <c r="K16" s="774"/>
      <c r="L16" s="774"/>
      <c r="M16" s="774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s="9" customFormat="1" ht="12.75" customHeight="1" x14ac:dyDescent="0.2">
      <c r="A17" s="135" t="s">
        <v>11</v>
      </c>
      <c r="B17" s="134" t="s">
        <v>117</v>
      </c>
      <c r="C17" s="76">
        <v>12000</v>
      </c>
      <c r="D17" s="77">
        <v>41998</v>
      </c>
      <c r="E17" s="69"/>
      <c r="F17" s="14" t="s">
        <v>98</v>
      </c>
      <c r="G17" s="135"/>
      <c r="H17" s="18"/>
      <c r="I17" s="15" t="s">
        <v>7</v>
      </c>
      <c r="J17" s="15" t="s">
        <v>47</v>
      </c>
      <c r="K17" s="15" t="s">
        <v>48</v>
      </c>
      <c r="L17" s="15" t="s">
        <v>32</v>
      </c>
      <c r="M17" s="15" t="s">
        <v>23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s="9" customFormat="1" ht="12.75" customHeight="1" x14ac:dyDescent="0.2">
      <c r="A18" s="135" t="s">
        <v>11</v>
      </c>
      <c r="B18" s="163" t="s">
        <v>139</v>
      </c>
      <c r="C18" s="76">
        <v>13000</v>
      </c>
      <c r="D18" s="77">
        <v>41998</v>
      </c>
      <c r="E18" s="69"/>
      <c r="F18" s="78"/>
      <c r="G18" s="135"/>
      <c r="H18" s="18"/>
      <c r="I18" s="16" t="s">
        <v>11</v>
      </c>
      <c r="J18" s="16">
        <v>972057</v>
      </c>
      <c r="K18" s="25">
        <v>231200</v>
      </c>
      <c r="L18" s="25"/>
      <c r="M18" s="21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s="9" customFormat="1" ht="12.75" customHeight="1" x14ac:dyDescent="0.2">
      <c r="A19" s="135" t="s">
        <v>11</v>
      </c>
      <c r="B19" s="164" t="s">
        <v>141</v>
      </c>
      <c r="C19" s="76">
        <v>7000</v>
      </c>
      <c r="D19" s="77">
        <v>42000</v>
      </c>
      <c r="E19" s="69"/>
      <c r="F19" s="78"/>
      <c r="G19" s="135"/>
      <c r="H19" s="18"/>
      <c r="I19" s="16" t="s">
        <v>17</v>
      </c>
      <c r="J19" s="16">
        <v>163956</v>
      </c>
      <c r="K19" s="16">
        <v>0</v>
      </c>
      <c r="L19" s="25"/>
      <c r="M19" s="36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s="9" customFormat="1" ht="12.75" customHeight="1" x14ac:dyDescent="0.2">
      <c r="A20" s="135" t="s">
        <v>11</v>
      </c>
      <c r="B20" s="75" t="s">
        <v>138</v>
      </c>
      <c r="C20" s="76">
        <v>28000</v>
      </c>
      <c r="D20" s="77">
        <v>42000</v>
      </c>
      <c r="E20" s="69"/>
      <c r="F20" s="14" t="s">
        <v>98</v>
      </c>
      <c r="G20" s="135"/>
      <c r="H20" s="18"/>
      <c r="I20" s="16" t="s">
        <v>24</v>
      </c>
      <c r="J20" s="16">
        <v>201121</v>
      </c>
      <c r="K20" s="25">
        <v>68934</v>
      </c>
      <c r="L20" s="25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s="9" customFormat="1" ht="12.75" customHeight="1" x14ac:dyDescent="0.2">
      <c r="A21" s="135" t="s">
        <v>11</v>
      </c>
      <c r="B21" s="159" t="s">
        <v>118</v>
      </c>
      <c r="C21" s="76">
        <v>32600</v>
      </c>
      <c r="D21" s="77">
        <v>42000</v>
      </c>
      <c r="E21" s="69"/>
      <c r="F21" s="78"/>
      <c r="G21" s="135"/>
      <c r="H21" s="18"/>
      <c r="I21" s="16" t="s">
        <v>42</v>
      </c>
      <c r="J21" s="16">
        <v>36476</v>
      </c>
      <c r="K21" s="16">
        <v>0</v>
      </c>
      <c r="L21" s="25"/>
      <c r="M21" s="37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s="9" customFormat="1" ht="12.75" customHeight="1" x14ac:dyDescent="0.2">
      <c r="A22" s="135" t="s">
        <v>11</v>
      </c>
      <c r="B22" s="75" t="s">
        <v>119</v>
      </c>
      <c r="C22" s="76">
        <v>56000</v>
      </c>
      <c r="D22" s="77">
        <v>42002</v>
      </c>
      <c r="E22" s="69"/>
      <c r="F22" s="68" t="s">
        <v>65</v>
      </c>
      <c r="G22" s="135"/>
      <c r="H22" s="18"/>
      <c r="I22" s="16" t="s">
        <v>29</v>
      </c>
      <c r="J22" s="16">
        <v>92202</v>
      </c>
      <c r="K22" s="16">
        <v>0</v>
      </c>
      <c r="L22" s="25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s="9" customFormat="1" ht="12.75" customHeight="1" x14ac:dyDescent="0.2">
      <c r="A23" s="135" t="s">
        <v>11</v>
      </c>
      <c r="B23" s="75" t="s">
        <v>26</v>
      </c>
      <c r="C23" s="120">
        <v>12500</v>
      </c>
      <c r="D23" s="77">
        <v>42003</v>
      </c>
      <c r="E23" s="144"/>
      <c r="F23" s="144"/>
      <c r="G23" s="144"/>
      <c r="H23" s="18"/>
      <c r="I23" s="16"/>
      <c r="J23" s="16"/>
      <c r="K23" s="16"/>
      <c r="L23" s="16"/>
      <c r="M23" s="22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</row>
    <row r="24" spans="1:29" s="9" customFormat="1" ht="12.75" customHeight="1" x14ac:dyDescent="0.25">
      <c r="A24" s="135" t="s">
        <v>11</v>
      </c>
      <c r="B24" s="149" t="s">
        <v>56</v>
      </c>
      <c r="C24" s="120">
        <v>19000</v>
      </c>
      <c r="D24" s="77">
        <v>42003</v>
      </c>
      <c r="E24" s="144"/>
      <c r="F24" s="144"/>
      <c r="G24" s="144"/>
      <c r="H24" s="18"/>
      <c r="I24" s="15" t="s">
        <v>12</v>
      </c>
      <c r="J24" s="15">
        <f>SUM(J17:J23)</f>
        <v>1465812</v>
      </c>
      <c r="K24" s="27">
        <f>SUM(K17:K23)</f>
        <v>300134</v>
      </c>
      <c r="L24" s="162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</row>
    <row r="25" spans="1:29" s="9" customFormat="1" ht="12.75" customHeight="1" x14ac:dyDescent="0.2">
      <c r="A25" s="135" t="s">
        <v>11</v>
      </c>
      <c r="B25" s="120" t="s">
        <v>121</v>
      </c>
      <c r="C25" s="120">
        <v>26500</v>
      </c>
      <c r="D25" s="77">
        <v>42003</v>
      </c>
      <c r="E25" s="144"/>
      <c r="F25" s="14" t="s">
        <v>74</v>
      </c>
      <c r="G25" s="141"/>
      <c r="H25" s="18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</row>
    <row r="26" spans="1:29" x14ac:dyDescent="0.25">
      <c r="A26" s="135" t="s">
        <v>11</v>
      </c>
      <c r="B26" s="5" t="s">
        <v>112</v>
      </c>
      <c r="C26" s="120">
        <v>6000</v>
      </c>
      <c r="D26" s="77">
        <v>42003</v>
      </c>
      <c r="E26" s="177"/>
      <c r="F26" s="15"/>
      <c r="G26" s="177"/>
      <c r="H26" s="34"/>
      <c r="I26" s="775" t="s">
        <v>108</v>
      </c>
      <c r="J26" s="775"/>
      <c r="K26" s="775"/>
      <c r="L26" s="775"/>
      <c r="M26" s="77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A27" s="135" t="s">
        <v>11</v>
      </c>
      <c r="B27" s="120" t="s">
        <v>122</v>
      </c>
      <c r="C27" s="148">
        <v>20000</v>
      </c>
      <c r="D27" s="77">
        <v>42003</v>
      </c>
      <c r="E27" s="135"/>
      <c r="F27" s="135"/>
      <c r="G27" s="135" t="s">
        <v>123</v>
      </c>
      <c r="H27" s="34"/>
      <c r="I27" s="776" t="s">
        <v>63</v>
      </c>
      <c r="J27" s="776"/>
      <c r="K27" s="33">
        <f>+K14</f>
        <v>708813</v>
      </c>
      <c r="L27" s="33"/>
      <c r="M27" s="17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" customHeight="1" x14ac:dyDescent="0.25">
      <c r="A28" s="135" t="s">
        <v>11</v>
      </c>
      <c r="B28" s="120" t="s">
        <v>124</v>
      </c>
      <c r="C28" s="148">
        <v>18000</v>
      </c>
      <c r="D28" s="77">
        <v>42003</v>
      </c>
      <c r="E28" s="125"/>
      <c r="F28" s="135"/>
      <c r="G28" s="135"/>
      <c r="H28" s="34"/>
      <c r="I28" s="777" t="s">
        <v>64</v>
      </c>
      <c r="J28" s="778"/>
      <c r="K28" s="54">
        <f>+K24</f>
        <v>300134</v>
      </c>
      <c r="L28" s="40"/>
      <c r="M28" s="779" t="s">
        <v>132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A29" s="135" t="s">
        <v>11</v>
      </c>
      <c r="B29" s="75" t="s">
        <v>113</v>
      </c>
      <c r="C29" s="148">
        <v>9500</v>
      </c>
      <c r="D29" s="77">
        <v>42003</v>
      </c>
      <c r="E29" s="125"/>
      <c r="F29" s="5" t="s">
        <v>101</v>
      </c>
      <c r="G29" s="135"/>
      <c r="H29" s="34"/>
      <c r="I29" s="776" t="s">
        <v>72</v>
      </c>
      <c r="J29" s="776"/>
      <c r="K29" s="33">
        <v>456865</v>
      </c>
      <c r="L29" s="51"/>
      <c r="M29" s="78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7.25" customHeight="1" x14ac:dyDescent="0.25">
      <c r="A30" s="135" t="s">
        <v>11</v>
      </c>
      <c r="B30" s="75" t="s">
        <v>113</v>
      </c>
      <c r="C30" s="148">
        <v>6000</v>
      </c>
      <c r="D30" s="77">
        <v>42004</v>
      </c>
      <c r="E30" s="125"/>
      <c r="F30" s="5"/>
      <c r="G30" s="135"/>
      <c r="H30" s="34"/>
      <c r="I30" s="173"/>
      <c r="J30" s="173"/>
      <c r="K30" s="33"/>
      <c r="L30" s="51"/>
      <c r="M30" s="17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3.5" customHeight="1" x14ac:dyDescent="0.25">
      <c r="A31" s="135" t="s">
        <v>11</v>
      </c>
      <c r="B31" s="147" t="s">
        <v>125</v>
      </c>
      <c r="C31" s="148">
        <v>2500</v>
      </c>
      <c r="D31" s="77">
        <v>42004</v>
      </c>
      <c r="E31" s="135"/>
      <c r="F31" s="135"/>
      <c r="G31" s="61"/>
      <c r="H31" s="34"/>
      <c r="I31" s="775" t="s">
        <v>106</v>
      </c>
      <c r="J31" s="775"/>
      <c r="K31" s="39">
        <f>SUM(K27:K30)</f>
        <v>1465812</v>
      </c>
      <c r="L31" s="39"/>
      <c r="M31" s="38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3.5" customHeight="1" x14ac:dyDescent="0.25">
      <c r="A32" s="135" t="s">
        <v>11</v>
      </c>
      <c r="B32" s="160" t="s">
        <v>130</v>
      </c>
      <c r="C32" s="161">
        <v>22800</v>
      </c>
      <c r="D32" s="77">
        <v>42000</v>
      </c>
      <c r="E32" s="135"/>
      <c r="F32" s="53"/>
      <c r="G32" s="135" t="s">
        <v>131</v>
      </c>
      <c r="H32" s="34"/>
      <c r="I32" s="176"/>
      <c r="J32" s="176"/>
      <c r="K32" s="56"/>
      <c r="L32" s="56"/>
      <c r="M32" s="80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4.25" customHeight="1" x14ac:dyDescent="0.25">
      <c r="A33" s="135" t="s">
        <v>11</v>
      </c>
      <c r="B33" s="160" t="s">
        <v>137</v>
      </c>
      <c r="C33" s="42">
        <v>23000</v>
      </c>
      <c r="D33" s="142">
        <v>41999</v>
      </c>
      <c r="E33" s="135"/>
      <c r="F33" s="14" t="s">
        <v>98</v>
      </c>
      <c r="G33" s="135"/>
      <c r="H33" s="34"/>
      <c r="I33" s="176"/>
      <c r="J33" s="176"/>
      <c r="K33" s="56"/>
      <c r="L33" s="56"/>
      <c r="M33" s="80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4.25" customHeight="1" x14ac:dyDescent="0.25">
      <c r="A34" s="135" t="s">
        <v>11</v>
      </c>
      <c r="B34" s="160" t="s">
        <v>142</v>
      </c>
      <c r="C34" s="42">
        <v>6000</v>
      </c>
      <c r="D34" s="142">
        <v>41998</v>
      </c>
      <c r="E34" s="135"/>
      <c r="F34" s="14" t="s">
        <v>98</v>
      </c>
      <c r="G34" s="135"/>
      <c r="H34" s="34"/>
      <c r="I34" s="176"/>
      <c r="J34" s="176"/>
      <c r="K34" s="56"/>
      <c r="L34" s="56"/>
      <c r="M34" s="80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3.5" customHeight="1" x14ac:dyDescent="0.25">
      <c r="A35" s="135" t="s">
        <v>11</v>
      </c>
      <c r="B35" s="41" t="s">
        <v>143</v>
      </c>
      <c r="C35" s="42">
        <v>7500</v>
      </c>
      <c r="D35" s="142">
        <v>41998</v>
      </c>
      <c r="E35" s="135"/>
      <c r="F35" s="5"/>
      <c r="G35" s="135"/>
      <c r="H35" s="34"/>
      <c r="I35" s="176"/>
      <c r="J35" s="176"/>
      <c r="K35" s="56"/>
      <c r="L35" s="56"/>
      <c r="M35" s="80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3.5" customHeight="1" x14ac:dyDescent="0.25">
      <c r="A36" s="135"/>
      <c r="B36" s="41"/>
      <c r="C36" s="42"/>
      <c r="D36" s="142"/>
      <c r="E36" s="135"/>
      <c r="F36" s="5"/>
      <c r="G36" s="135"/>
      <c r="H36" s="34"/>
      <c r="I36" s="176"/>
      <c r="J36" s="176"/>
      <c r="K36" s="56"/>
      <c r="L36" s="56"/>
      <c r="M36" s="80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3.5" customHeight="1" x14ac:dyDescent="0.25">
      <c r="A37" s="131"/>
      <c r="B37" s="126"/>
      <c r="C37" s="127"/>
      <c r="D37" s="128"/>
      <c r="E37" s="131"/>
      <c r="F37" s="7"/>
      <c r="G37" s="131"/>
      <c r="H37" s="34"/>
      <c r="I37" s="176"/>
      <c r="J37" s="176"/>
      <c r="K37" s="56"/>
      <c r="L37" s="56"/>
      <c r="M37" s="80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3.5" customHeight="1" x14ac:dyDescent="0.25">
      <c r="A38" s="131"/>
      <c r="B38" s="126"/>
      <c r="C38" s="127"/>
      <c r="D38" s="128"/>
      <c r="E38" s="131"/>
      <c r="F38" s="7"/>
      <c r="G38" s="131"/>
      <c r="H38" s="34"/>
      <c r="I38" s="176"/>
      <c r="J38" s="176"/>
      <c r="K38" s="56"/>
      <c r="L38" s="56"/>
      <c r="M38" s="80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3.5" customHeight="1" x14ac:dyDescent="0.25">
      <c r="A39" s="131"/>
      <c r="B39" s="126"/>
      <c r="C39" s="127"/>
      <c r="D39" s="128"/>
      <c r="E39" s="131"/>
      <c r="F39" s="7"/>
      <c r="G39" s="131"/>
      <c r="H39" s="34"/>
      <c r="I39" s="176"/>
      <c r="J39" s="176"/>
      <c r="K39" s="56"/>
      <c r="L39" s="56"/>
      <c r="M39" s="80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3.5" customHeight="1" x14ac:dyDescent="0.25">
      <c r="A40" s="131"/>
      <c r="B40" s="126"/>
      <c r="C40" s="127"/>
      <c r="D40" s="128"/>
      <c r="E40" s="131"/>
      <c r="F40" s="7"/>
      <c r="G40" s="131"/>
      <c r="H40" s="34"/>
      <c r="I40" s="176"/>
      <c r="J40" s="176"/>
      <c r="K40" s="56"/>
      <c r="L40" s="56"/>
      <c r="M40" s="80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3.5" customHeight="1" x14ac:dyDescent="0.25">
      <c r="A41" s="131"/>
      <c r="B41" s="126"/>
      <c r="C41" s="127"/>
      <c r="D41" s="128"/>
      <c r="E41" s="131"/>
      <c r="F41" s="7"/>
      <c r="G41" s="131"/>
      <c r="H41" s="34"/>
      <c r="I41" s="176"/>
      <c r="J41" s="176"/>
      <c r="K41" s="56"/>
      <c r="L41" s="56"/>
      <c r="M41" s="80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3.5" customHeight="1" x14ac:dyDescent="0.25">
      <c r="A42" s="131"/>
      <c r="B42" s="126"/>
      <c r="C42" s="127"/>
      <c r="D42" s="128"/>
      <c r="E42" s="131"/>
      <c r="F42" s="7"/>
      <c r="G42" s="131"/>
      <c r="H42" s="34"/>
      <c r="I42" s="23"/>
      <c r="J42" s="23"/>
      <c r="K42" s="23"/>
      <c r="L42" s="23"/>
      <c r="M42" s="2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3.5" customHeight="1" x14ac:dyDescent="0.25">
      <c r="A43" s="765" t="s">
        <v>46</v>
      </c>
      <c r="B43" s="765"/>
      <c r="C43" s="765"/>
      <c r="D43" s="765"/>
      <c r="E43" s="765"/>
      <c r="F43" s="765"/>
      <c r="G43" s="765"/>
      <c r="H43" s="145"/>
      <c r="I43" s="23"/>
      <c r="J43" s="23"/>
      <c r="K43" s="23"/>
      <c r="L43" s="23"/>
      <c r="M43" s="2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25">
      <c r="A44" s="124">
        <v>41931</v>
      </c>
      <c r="B44" s="765" t="s">
        <v>107</v>
      </c>
      <c r="C44" s="765"/>
      <c r="D44" s="765"/>
      <c r="E44" s="765"/>
      <c r="F44" s="172"/>
      <c r="G44" s="141"/>
      <c r="H44" s="150"/>
      <c r="I44" s="23"/>
      <c r="J44" s="23"/>
      <c r="K44" s="23"/>
      <c r="L44" s="23"/>
      <c r="M44" s="2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5">
      <c r="A45" s="177" t="s">
        <v>7</v>
      </c>
      <c r="B45" s="177" t="s">
        <v>8</v>
      </c>
      <c r="C45" s="177" t="s">
        <v>9</v>
      </c>
      <c r="D45" s="177" t="s">
        <v>10</v>
      </c>
      <c r="E45" s="177" t="s">
        <v>21</v>
      </c>
      <c r="F45" s="15"/>
      <c r="G45" s="141"/>
      <c r="H45" s="150"/>
      <c r="I45" s="23"/>
      <c r="J45" s="23"/>
      <c r="K45" s="23"/>
      <c r="L45" s="23"/>
      <c r="M45" s="2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25">
      <c r="A46" s="156" t="s">
        <v>24</v>
      </c>
      <c r="B46" s="84">
        <v>70304</v>
      </c>
      <c r="C46" s="108">
        <v>1575</v>
      </c>
      <c r="D46" s="111">
        <v>41991</v>
      </c>
      <c r="E46" s="146"/>
      <c r="F46" s="14"/>
      <c r="G46" s="146"/>
      <c r="H46" s="143"/>
      <c r="I46" s="23"/>
      <c r="J46" s="23"/>
      <c r="K46" s="23"/>
      <c r="L46" s="23"/>
      <c r="M46" s="2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 s="156" t="s">
        <v>24</v>
      </c>
      <c r="B47" s="84">
        <v>70304</v>
      </c>
      <c r="C47" s="108">
        <v>2000</v>
      </c>
      <c r="D47" s="111">
        <v>41995</v>
      </c>
      <c r="E47" s="146"/>
      <c r="F47" s="14" t="s">
        <v>98</v>
      </c>
      <c r="G47" s="155"/>
      <c r="H47" s="151"/>
      <c r="I47" s="23"/>
      <c r="J47" s="23"/>
      <c r="K47" s="23"/>
      <c r="L47" s="23"/>
      <c r="M47" s="2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 s="156" t="s">
        <v>24</v>
      </c>
      <c r="B48" s="84">
        <v>71360</v>
      </c>
      <c r="C48" s="108">
        <v>10000</v>
      </c>
      <c r="D48" s="111">
        <v>41997</v>
      </c>
      <c r="E48" s="84"/>
      <c r="F48" s="84"/>
      <c r="G48" s="149"/>
      <c r="H48" s="152"/>
      <c r="I48" s="23"/>
      <c r="J48" s="23"/>
      <c r="K48" s="23"/>
      <c r="L48" s="23"/>
      <c r="M48" s="2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5">
      <c r="A49" s="156" t="s">
        <v>24</v>
      </c>
      <c r="B49" s="149">
        <v>71596</v>
      </c>
      <c r="C49" s="149">
        <v>16456</v>
      </c>
      <c r="D49" s="111">
        <v>41997</v>
      </c>
      <c r="E49" s="154"/>
      <c r="F49" s="154"/>
      <c r="G49" s="149"/>
      <c r="H49" s="153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5">
      <c r="A50" s="156" t="s">
        <v>24</v>
      </c>
      <c r="B50" s="84">
        <v>70304</v>
      </c>
      <c r="C50" s="149">
        <v>2000</v>
      </c>
      <c r="D50" s="157">
        <v>42003</v>
      </c>
      <c r="E50" s="154"/>
      <c r="F50" s="14" t="s">
        <v>98</v>
      </c>
      <c r="G50" s="149"/>
      <c r="H50" s="17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5">
      <c r="A51" s="156" t="s">
        <v>24</v>
      </c>
      <c r="B51" s="149">
        <v>71593</v>
      </c>
      <c r="C51" s="149">
        <v>18400</v>
      </c>
      <c r="D51" s="157">
        <v>42003</v>
      </c>
      <c r="E51" s="154"/>
      <c r="F51" s="154"/>
      <c r="G51" s="149"/>
      <c r="H51" s="17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x14ac:dyDescent="0.25">
      <c r="A52" s="766" t="s">
        <v>126</v>
      </c>
      <c r="B52" s="767"/>
      <c r="C52" s="158">
        <f>SUM(C46:C51)</f>
        <v>50431</v>
      </c>
      <c r="D52" s="154"/>
      <c r="E52" s="154"/>
      <c r="F52" s="154"/>
      <c r="G52" s="149"/>
      <c r="H52" s="17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5">
      <c r="A53" s="154"/>
      <c r="B53" s="149"/>
      <c r="C53" s="154"/>
      <c r="D53" s="154"/>
      <c r="E53" s="154"/>
      <c r="F53" s="154"/>
      <c r="G53" s="149"/>
      <c r="H53" s="17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25">
      <c r="A54" s="17"/>
      <c r="B54" s="13"/>
      <c r="C54" s="17"/>
      <c r="D54" s="17"/>
      <c r="E54" s="17"/>
      <c r="F54" s="17"/>
      <c r="G54" s="13"/>
      <c r="H54" s="17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5">
      <c r="A55" s="17"/>
      <c r="B55" s="13"/>
      <c r="C55" s="17"/>
      <c r="D55" s="17"/>
      <c r="E55" s="17"/>
      <c r="F55" s="17"/>
      <c r="G55" s="13"/>
      <c r="H55" s="17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A56" s="17"/>
      <c r="B56" s="13"/>
      <c r="C56" s="17"/>
      <c r="D56" s="17"/>
      <c r="E56" s="17"/>
      <c r="F56" s="17"/>
      <c r="G56" s="13"/>
      <c r="H56" s="17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5">
      <c r="A57" s="17"/>
      <c r="B57" s="13"/>
      <c r="C57" s="17"/>
      <c r="D57" s="17"/>
      <c r="E57" s="17"/>
      <c r="F57" s="17"/>
      <c r="G57" s="13"/>
      <c r="H57" s="17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5"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5"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25"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5"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25">
      <c r="M62" s="1"/>
      <c r="N62" s="1"/>
      <c r="O62" s="1"/>
      <c r="P62" s="1"/>
      <c r="Q62" s="1"/>
      <c r="R62" s="1"/>
      <c r="S62" s="1"/>
      <c r="T62" s="1"/>
      <c r="U62" s="1"/>
    </row>
    <row r="63" spans="1:29" x14ac:dyDescent="0.25">
      <c r="M63" s="1"/>
      <c r="N63" s="1"/>
      <c r="O63" s="1"/>
      <c r="P63" s="1"/>
      <c r="Q63" s="1"/>
      <c r="R63" s="1"/>
      <c r="S63" s="1"/>
      <c r="T63" s="1"/>
      <c r="U63" s="1"/>
    </row>
    <row r="64" spans="1:29" x14ac:dyDescent="0.25">
      <c r="M64" s="1"/>
      <c r="N64" s="1"/>
      <c r="O64" s="1"/>
      <c r="P64" s="1"/>
      <c r="Q64" s="1"/>
      <c r="R64" s="1"/>
      <c r="S64" s="1"/>
      <c r="T64" s="1"/>
      <c r="U64" s="1"/>
    </row>
    <row r="65" spans="13:21" x14ac:dyDescent="0.25">
      <c r="M65" s="1"/>
      <c r="N65" s="1"/>
      <c r="O65" s="1"/>
      <c r="P65" s="1"/>
      <c r="Q65" s="1"/>
      <c r="R65" s="1"/>
      <c r="S65" s="1"/>
      <c r="T65" s="1"/>
      <c r="U65" s="1"/>
    </row>
    <row r="66" spans="13:21" x14ac:dyDescent="0.25">
      <c r="M66" s="1"/>
      <c r="N66" s="1"/>
      <c r="O66" s="1"/>
      <c r="P66" s="1"/>
      <c r="Q66" s="1"/>
      <c r="R66" s="1"/>
      <c r="S66" s="1"/>
      <c r="T66" s="1"/>
      <c r="U66" s="1"/>
    </row>
    <row r="67" spans="13:21" x14ac:dyDescent="0.25">
      <c r="M67" s="1"/>
      <c r="N67" s="1"/>
      <c r="O67" s="1"/>
      <c r="P67" s="1"/>
      <c r="Q67" s="1"/>
      <c r="R67" s="1"/>
      <c r="S67" s="1"/>
      <c r="T67" s="1"/>
      <c r="U67" s="1"/>
    </row>
    <row r="68" spans="13:21" x14ac:dyDescent="0.25">
      <c r="M68" s="1"/>
      <c r="N68" s="1"/>
      <c r="O68" s="1"/>
      <c r="P68" s="1"/>
      <c r="Q68" s="1"/>
      <c r="R68" s="1"/>
      <c r="S68" s="1"/>
      <c r="T68" s="1"/>
      <c r="U68" s="1"/>
    </row>
    <row r="69" spans="13:21" x14ac:dyDescent="0.25">
      <c r="M69" s="1"/>
      <c r="N69" s="1"/>
      <c r="O69" s="1"/>
      <c r="P69" s="1"/>
      <c r="Q69" s="1"/>
      <c r="R69" s="1"/>
      <c r="S69" s="1"/>
      <c r="T69" s="1"/>
      <c r="U69" s="1"/>
    </row>
    <row r="70" spans="13:21" x14ac:dyDescent="0.25">
      <c r="M70" s="1"/>
      <c r="N70" s="1"/>
      <c r="O70" s="1"/>
      <c r="P70" s="1"/>
      <c r="Q70" s="1"/>
      <c r="R70" s="1"/>
      <c r="S70" s="1"/>
      <c r="T70" s="1"/>
      <c r="U70" s="1"/>
    </row>
    <row r="71" spans="13:21" x14ac:dyDescent="0.25">
      <c r="M71" s="1"/>
      <c r="N71" s="1"/>
      <c r="O71" s="1"/>
      <c r="P71" s="1"/>
      <c r="Q71" s="1"/>
      <c r="R71" s="1"/>
      <c r="S71" s="1"/>
      <c r="T71" s="1"/>
      <c r="U71" s="1"/>
    </row>
    <row r="72" spans="13:21" x14ac:dyDescent="0.25">
      <c r="M72" s="1"/>
      <c r="N72" s="1"/>
      <c r="O72" s="1"/>
      <c r="P72" s="1"/>
      <c r="Q72" s="1"/>
      <c r="R72" s="1"/>
      <c r="S72" s="1"/>
      <c r="T72" s="1"/>
      <c r="U72" s="1"/>
    </row>
    <row r="73" spans="13:21" x14ac:dyDescent="0.25">
      <c r="M73" s="1"/>
      <c r="N73" s="1"/>
      <c r="O73" s="1"/>
      <c r="P73" s="1"/>
      <c r="Q73" s="1"/>
      <c r="R73" s="1"/>
      <c r="S73" s="1"/>
      <c r="T73" s="1"/>
      <c r="U73" s="1"/>
    </row>
    <row r="74" spans="13:21" x14ac:dyDescent="0.25">
      <c r="M74" s="1"/>
      <c r="N74" s="1"/>
      <c r="O74" s="1"/>
      <c r="P74" s="1"/>
      <c r="Q74" s="1"/>
      <c r="R74" s="1"/>
      <c r="S74" s="1"/>
      <c r="T74" s="1"/>
      <c r="U74" s="1"/>
    </row>
    <row r="75" spans="13:21" x14ac:dyDescent="0.25">
      <c r="M75" s="1"/>
      <c r="N75" s="1"/>
      <c r="O75" s="1"/>
      <c r="P75" s="1"/>
      <c r="Q75" s="1"/>
      <c r="R75" s="1"/>
      <c r="S75" s="1"/>
      <c r="T75" s="1"/>
      <c r="U75" s="1"/>
    </row>
    <row r="76" spans="13:21" x14ac:dyDescent="0.25">
      <c r="M76" s="1"/>
      <c r="N76" s="1"/>
      <c r="O76" s="1"/>
      <c r="P76" s="1"/>
      <c r="Q76" s="1"/>
      <c r="R76" s="1"/>
      <c r="S76" s="1"/>
      <c r="T76" s="1"/>
      <c r="U76" s="1"/>
    </row>
    <row r="77" spans="13:21" x14ac:dyDescent="0.25">
      <c r="M77" s="1"/>
      <c r="N77" s="1"/>
      <c r="O77" s="1"/>
      <c r="P77" s="1"/>
      <c r="Q77" s="1"/>
      <c r="R77" s="1"/>
      <c r="S77" s="1"/>
      <c r="T77" s="1"/>
      <c r="U77" s="1"/>
    </row>
    <row r="78" spans="13:21" x14ac:dyDescent="0.25">
      <c r="M78" s="1"/>
      <c r="N78" s="1"/>
      <c r="O78" s="1"/>
      <c r="P78" s="1"/>
      <c r="Q78" s="1"/>
      <c r="R78" s="1"/>
      <c r="S78" s="1"/>
      <c r="T78" s="1"/>
      <c r="U78" s="1"/>
    </row>
    <row r="79" spans="13:21" x14ac:dyDescent="0.25">
      <c r="M79" s="1"/>
      <c r="N79" s="1"/>
      <c r="O79" s="1"/>
      <c r="P79" s="1"/>
      <c r="Q79" s="1"/>
      <c r="R79" s="1"/>
      <c r="S79" s="1"/>
      <c r="T79" s="1"/>
      <c r="U79" s="1"/>
    </row>
    <row r="80" spans="13:21" x14ac:dyDescent="0.25">
      <c r="M80" s="1"/>
      <c r="N80" s="1"/>
      <c r="O80" s="1"/>
      <c r="P80" s="1"/>
      <c r="Q80" s="1"/>
      <c r="R80" s="1"/>
      <c r="S80" s="1"/>
      <c r="T80" s="1"/>
      <c r="U80" s="1"/>
    </row>
    <row r="81" spans="13:21" x14ac:dyDescent="0.25">
      <c r="M81" s="1"/>
      <c r="N81" s="1"/>
      <c r="O81" s="1"/>
      <c r="P81" s="1"/>
      <c r="Q81" s="1"/>
      <c r="R81" s="1"/>
      <c r="S81" s="1"/>
      <c r="T81" s="1"/>
      <c r="U81" s="1"/>
    </row>
    <row r="82" spans="13:21" x14ac:dyDescent="0.25">
      <c r="M82" s="1"/>
      <c r="N82" s="1"/>
      <c r="O82" s="1"/>
      <c r="P82" s="1"/>
      <c r="Q82" s="1"/>
      <c r="R82" s="1"/>
      <c r="S82" s="1"/>
      <c r="T82" s="1"/>
      <c r="U82" s="1"/>
    </row>
    <row r="83" spans="13:21" x14ac:dyDescent="0.25">
      <c r="M83" s="1"/>
      <c r="N83" s="1"/>
      <c r="O83" s="1"/>
      <c r="P83" s="1"/>
      <c r="Q83" s="1"/>
      <c r="R83" s="1"/>
      <c r="S83" s="1"/>
      <c r="T83" s="1"/>
      <c r="U83" s="1"/>
    </row>
    <row r="84" spans="13:21" x14ac:dyDescent="0.25">
      <c r="M84" s="1"/>
      <c r="N84" s="1"/>
      <c r="O84" s="1"/>
      <c r="P84" s="1"/>
      <c r="Q84" s="1"/>
      <c r="R84" s="1"/>
      <c r="S84" s="1"/>
      <c r="T84" s="1"/>
      <c r="U84" s="1"/>
    </row>
    <row r="85" spans="13:21" x14ac:dyDescent="0.25">
      <c r="M85" s="1"/>
      <c r="N85" s="1"/>
      <c r="O85" s="1"/>
      <c r="P85" s="1"/>
      <c r="Q85" s="1"/>
      <c r="R85" s="1"/>
      <c r="S85" s="1"/>
      <c r="T85" s="1"/>
      <c r="U85" s="1"/>
    </row>
    <row r="86" spans="13:21" x14ac:dyDescent="0.25">
      <c r="M86" s="1"/>
      <c r="N86" s="1"/>
      <c r="O86" s="1"/>
      <c r="P86" s="1"/>
      <c r="Q86" s="1"/>
      <c r="R86" s="1"/>
      <c r="S86" s="1"/>
      <c r="T86" s="1"/>
      <c r="U86" s="1"/>
    </row>
    <row r="87" spans="13:21" x14ac:dyDescent="0.25">
      <c r="M87" s="1"/>
      <c r="N87" s="1"/>
      <c r="O87" s="1"/>
      <c r="P87" s="1"/>
      <c r="Q87" s="1"/>
      <c r="R87" s="1"/>
      <c r="S87" s="1"/>
      <c r="T87" s="1"/>
      <c r="U87" s="1"/>
    </row>
    <row r="88" spans="13:21" x14ac:dyDescent="0.25">
      <c r="M88" s="1"/>
      <c r="N88" s="1"/>
      <c r="O88" s="1"/>
      <c r="P88" s="1"/>
      <c r="Q88" s="1"/>
      <c r="R88" s="1"/>
      <c r="S88" s="1"/>
      <c r="T88" s="1"/>
      <c r="U88" s="1"/>
    </row>
  </sheetData>
  <mergeCells count="15">
    <mergeCell ref="A43:G43"/>
    <mergeCell ref="B44:E44"/>
    <mergeCell ref="A52:B52"/>
    <mergeCell ref="I26:M26"/>
    <mergeCell ref="I27:J27"/>
    <mergeCell ref="I28:J28"/>
    <mergeCell ref="M28:M29"/>
    <mergeCell ref="I29:J29"/>
    <mergeCell ref="I31:J31"/>
    <mergeCell ref="I16:M16"/>
    <mergeCell ref="A1:G1"/>
    <mergeCell ref="A2:G2"/>
    <mergeCell ref="A3:G3"/>
    <mergeCell ref="B4:E4"/>
    <mergeCell ref="I5:M5"/>
  </mergeCells>
  <pageMargins left="0.7" right="0.2" top="1" bottom="0.25" header="0.3" footer="0.3"/>
  <pageSetup paperSize="9" scale="84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91"/>
  <sheetViews>
    <sheetView workbookViewId="0">
      <selection activeCell="E22" sqref="E22"/>
    </sheetView>
  </sheetViews>
  <sheetFormatPr defaultRowHeight="15" x14ac:dyDescent="0.25"/>
  <cols>
    <col min="1" max="1" width="7.85546875" style="1" customWidth="1"/>
    <col min="2" max="2" width="16" style="4" customWidth="1"/>
    <col min="3" max="3" width="10.42578125" style="1" customWidth="1"/>
    <col min="4" max="4" width="8.42578125" style="1" customWidth="1"/>
    <col min="5" max="6" width="12.5703125" style="1" customWidth="1"/>
    <col min="7" max="7" width="12.5703125" style="4" customWidth="1"/>
    <col min="8" max="8" width="2.85546875" style="1" customWidth="1"/>
    <col min="9" max="9" width="9.85546875" style="1" customWidth="1"/>
    <col min="10" max="10" width="15" style="1" customWidth="1"/>
    <col min="11" max="11" width="10.140625" style="1" customWidth="1"/>
    <col min="12" max="12" width="8.85546875" style="1" customWidth="1"/>
    <col min="13" max="13" width="13.5703125" customWidth="1"/>
    <col min="14" max="14" width="12.42578125" customWidth="1"/>
    <col min="15" max="15" width="10.140625" customWidth="1"/>
  </cols>
  <sheetData>
    <row r="1" spans="1:29" ht="13.5" customHeight="1" x14ac:dyDescent="0.25">
      <c r="A1" s="775" t="s">
        <v>90</v>
      </c>
      <c r="B1" s="775"/>
      <c r="C1" s="775"/>
      <c r="D1" s="775"/>
      <c r="E1" s="775"/>
      <c r="F1" s="775"/>
      <c r="G1" s="775"/>
      <c r="H1" s="18"/>
      <c r="I1" s="790" t="s">
        <v>90</v>
      </c>
      <c r="J1" s="791"/>
      <c r="K1" s="791"/>
      <c r="L1" s="791"/>
      <c r="M1" s="791"/>
      <c r="N1" s="791"/>
      <c r="O1" s="791"/>
      <c r="P1" s="792"/>
      <c r="Q1" s="1"/>
      <c r="R1" s="1"/>
      <c r="S1" s="1"/>
      <c r="T1" s="1"/>
      <c r="U1" s="1"/>
      <c r="V1" s="1"/>
      <c r="W1" s="1"/>
    </row>
    <row r="2" spans="1:29" s="9" customFormat="1" ht="15.75" customHeight="1" x14ac:dyDescent="0.2">
      <c r="A2" s="798" t="s">
        <v>89</v>
      </c>
      <c r="B2" s="799"/>
      <c r="C2" s="799"/>
      <c r="D2" s="799"/>
      <c r="E2" s="799"/>
      <c r="F2" s="799"/>
      <c r="G2" s="800"/>
      <c r="H2" s="18"/>
      <c r="I2" s="793">
        <v>41760</v>
      </c>
      <c r="J2" s="794"/>
      <c r="K2" s="794"/>
      <c r="L2" s="794"/>
      <c r="M2" s="794"/>
      <c r="N2" s="794"/>
      <c r="O2" s="794"/>
      <c r="P2" s="795"/>
      <c r="Q2" s="23"/>
      <c r="R2" s="23"/>
      <c r="S2" s="23"/>
      <c r="T2" s="23"/>
      <c r="U2" s="23"/>
      <c r="V2" s="23"/>
      <c r="W2" s="23"/>
    </row>
    <row r="3" spans="1:29" s="9" customFormat="1" ht="18" customHeight="1" x14ac:dyDescent="0.2">
      <c r="A3" s="8" t="s">
        <v>7</v>
      </c>
      <c r="B3" s="8" t="s">
        <v>8</v>
      </c>
      <c r="C3" s="8" t="s">
        <v>9</v>
      </c>
      <c r="D3" s="8" t="s">
        <v>10</v>
      </c>
      <c r="E3" s="8" t="s">
        <v>21</v>
      </c>
      <c r="F3" s="28" t="s">
        <v>62</v>
      </c>
      <c r="G3" s="8" t="s">
        <v>22</v>
      </c>
      <c r="H3" s="18"/>
      <c r="I3" s="8" t="s">
        <v>7</v>
      </c>
      <c r="J3" s="8" t="s">
        <v>8</v>
      </c>
      <c r="K3" s="8" t="s">
        <v>9</v>
      </c>
      <c r="L3" s="8" t="s">
        <v>10</v>
      </c>
      <c r="M3" s="8" t="s">
        <v>21</v>
      </c>
      <c r="N3" s="28" t="s">
        <v>62</v>
      </c>
      <c r="O3" s="8" t="s">
        <v>22</v>
      </c>
      <c r="P3" s="107"/>
      <c r="Q3" s="23"/>
      <c r="R3" s="23"/>
      <c r="S3" s="23"/>
      <c r="T3" s="23"/>
      <c r="U3" s="23"/>
      <c r="V3" s="23"/>
      <c r="W3" s="23"/>
    </row>
    <row r="4" spans="1:29" s="9" customFormat="1" ht="18" customHeight="1" x14ac:dyDescent="0.2">
      <c r="A4" s="45" t="s">
        <v>11</v>
      </c>
      <c r="B4" s="46" t="s">
        <v>60</v>
      </c>
      <c r="C4" s="47">
        <v>14000</v>
      </c>
      <c r="D4" s="48">
        <v>41729</v>
      </c>
      <c r="E4" s="49" t="s">
        <v>28</v>
      </c>
      <c r="F4" s="50"/>
      <c r="G4" s="100" t="s">
        <v>88</v>
      </c>
      <c r="H4" s="18"/>
      <c r="I4" s="117" t="s">
        <v>11</v>
      </c>
      <c r="J4" s="118" t="s">
        <v>52</v>
      </c>
      <c r="K4" s="110">
        <v>9000</v>
      </c>
      <c r="L4" s="31">
        <v>41766</v>
      </c>
      <c r="M4" s="32" t="s">
        <v>53</v>
      </c>
      <c r="N4" s="108"/>
      <c r="O4" s="107"/>
      <c r="P4" s="107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s="9" customFormat="1" ht="18" customHeight="1" x14ac:dyDescent="0.2">
      <c r="A5" s="45" t="s">
        <v>11</v>
      </c>
      <c r="B5" s="83" t="s">
        <v>77</v>
      </c>
      <c r="C5" s="44">
        <v>5500</v>
      </c>
      <c r="D5" s="31">
        <v>41726</v>
      </c>
      <c r="E5" s="49" t="s">
        <v>28</v>
      </c>
      <c r="F5" s="10" t="s">
        <v>78</v>
      </c>
      <c r="G5" s="10"/>
      <c r="H5" s="18"/>
      <c r="I5" s="117" t="s">
        <v>11</v>
      </c>
      <c r="J5" s="118" t="s">
        <v>56</v>
      </c>
      <c r="K5" s="114">
        <v>7000</v>
      </c>
      <c r="L5" s="31">
        <v>41767</v>
      </c>
      <c r="M5" s="32" t="s">
        <v>53</v>
      </c>
      <c r="N5" s="108"/>
      <c r="O5" s="107"/>
      <c r="P5" s="107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s="9" customFormat="1" ht="18" customHeight="1" x14ac:dyDescent="0.2">
      <c r="A6" s="89" t="s">
        <v>11</v>
      </c>
      <c r="B6" s="90" t="s">
        <v>61</v>
      </c>
      <c r="C6" s="91">
        <v>12488</v>
      </c>
      <c r="D6" s="62">
        <v>41729</v>
      </c>
      <c r="E6" s="49" t="s">
        <v>28</v>
      </c>
      <c r="F6" s="10" t="s">
        <v>78</v>
      </c>
      <c r="G6" s="10" t="s">
        <v>85</v>
      </c>
      <c r="H6" s="18"/>
      <c r="I6" s="117" t="s">
        <v>11</v>
      </c>
      <c r="J6" s="118" t="s">
        <v>76</v>
      </c>
      <c r="K6" s="114">
        <v>6500</v>
      </c>
      <c r="L6" s="31">
        <v>41767</v>
      </c>
      <c r="M6" s="32" t="s">
        <v>53</v>
      </c>
      <c r="N6" s="108"/>
      <c r="O6" s="104"/>
      <c r="P6" s="107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s="9" customFormat="1" ht="18" customHeight="1" x14ac:dyDescent="0.2">
      <c r="A7" s="87" t="s">
        <v>11</v>
      </c>
      <c r="B7" s="87" t="s">
        <v>27</v>
      </c>
      <c r="C7" s="88">
        <v>13000</v>
      </c>
      <c r="D7" s="62">
        <v>41723</v>
      </c>
      <c r="E7" s="49" t="s">
        <v>28</v>
      </c>
      <c r="F7" s="58" t="s">
        <v>91</v>
      </c>
      <c r="G7" s="26"/>
      <c r="H7" s="18"/>
      <c r="I7" s="117" t="s">
        <v>11</v>
      </c>
      <c r="J7" s="118" t="s">
        <v>54</v>
      </c>
      <c r="K7" s="114">
        <v>16000</v>
      </c>
      <c r="L7" s="31">
        <v>41773</v>
      </c>
      <c r="M7" s="32" t="s">
        <v>55</v>
      </c>
      <c r="N7" s="108"/>
      <c r="O7" s="104" t="s">
        <v>92</v>
      </c>
      <c r="P7" s="84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s="9" customFormat="1" ht="18" customHeight="1" x14ac:dyDescent="0.2">
      <c r="A8" s="808" t="s">
        <v>12</v>
      </c>
      <c r="B8" s="809"/>
      <c r="C8" s="97">
        <f>SUM(C4:C7)</f>
        <v>44988</v>
      </c>
      <c r="D8" s="62"/>
      <c r="E8" s="82"/>
      <c r="F8" s="58"/>
      <c r="G8" s="26"/>
      <c r="H8" s="18"/>
      <c r="I8" s="117" t="s">
        <v>11</v>
      </c>
      <c r="J8" s="119" t="s">
        <v>66</v>
      </c>
      <c r="K8" s="114">
        <v>10500</v>
      </c>
      <c r="L8" s="31">
        <v>41789</v>
      </c>
      <c r="M8" s="32" t="s">
        <v>93</v>
      </c>
      <c r="N8" s="108"/>
      <c r="O8" s="107"/>
      <c r="P8" s="107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s="9" customFormat="1" ht="17.25" customHeight="1" x14ac:dyDescent="0.2">
      <c r="A9" s="10" t="s">
        <v>24</v>
      </c>
      <c r="B9" s="41">
        <v>68280</v>
      </c>
      <c r="C9" s="84">
        <v>18035</v>
      </c>
      <c r="D9" s="62">
        <v>41728</v>
      </c>
      <c r="E9" s="95" t="s">
        <v>55</v>
      </c>
      <c r="F9" s="58" t="s">
        <v>91</v>
      </c>
      <c r="G9" s="26"/>
      <c r="H9" s="18"/>
      <c r="I9" s="117" t="s">
        <v>11</v>
      </c>
      <c r="J9" s="120" t="s">
        <v>58</v>
      </c>
      <c r="K9" s="108">
        <v>66000</v>
      </c>
      <c r="L9" s="111">
        <v>41777</v>
      </c>
      <c r="M9" s="84" t="s">
        <v>55</v>
      </c>
      <c r="N9" s="108"/>
      <c r="O9" s="104"/>
      <c r="P9" s="30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9" customFormat="1" ht="17.25" customHeight="1" x14ac:dyDescent="0.2">
      <c r="A10" s="787" t="s">
        <v>83</v>
      </c>
      <c r="B10" s="787"/>
      <c r="C10" s="102">
        <f>+C8+C9</f>
        <v>63023</v>
      </c>
      <c r="D10" s="62"/>
      <c r="E10" s="52"/>
      <c r="F10" s="58"/>
      <c r="G10" s="26"/>
      <c r="H10" s="18"/>
      <c r="I10" s="45"/>
      <c r="J10" s="110"/>
      <c r="K10" s="108"/>
      <c r="L10" s="111"/>
      <c r="M10" s="84"/>
      <c r="N10" s="107"/>
      <c r="O10" s="109"/>
      <c r="P10" s="107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s="9" customFormat="1" ht="17.25" customHeight="1" x14ac:dyDescent="0.25">
      <c r="A11" s="10"/>
      <c r="B11" s="85"/>
      <c r="C11" s="76"/>
      <c r="D11" s="62"/>
      <c r="E11" s="63"/>
      <c r="F11" s="58"/>
      <c r="G11" s="26"/>
      <c r="H11" s="18"/>
      <c r="I11" s="796" t="s">
        <v>12</v>
      </c>
      <c r="J11" s="797"/>
      <c r="K11" s="113">
        <f>SUM(K4:K10)</f>
        <v>115000</v>
      </c>
      <c r="L11" s="25"/>
      <c r="M11" s="36"/>
      <c r="N11" s="107"/>
      <c r="O11" s="107"/>
      <c r="P11" s="107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</row>
    <row r="12" spans="1:29" s="9" customFormat="1" ht="21" customHeight="1" x14ac:dyDescent="0.2">
      <c r="A12" s="801" t="s">
        <v>79</v>
      </c>
      <c r="B12" s="802"/>
      <c r="C12" s="802"/>
      <c r="D12" s="802"/>
      <c r="E12" s="802"/>
      <c r="F12" s="802"/>
      <c r="G12" s="803"/>
      <c r="H12" s="18"/>
      <c r="I12" s="16"/>
      <c r="J12" s="16"/>
      <c r="K12" s="25"/>
      <c r="L12" s="25"/>
      <c r="M12" s="22"/>
      <c r="N12" s="107"/>
      <c r="O12" s="107"/>
      <c r="P12" s="107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</row>
    <row r="13" spans="1:29" s="9" customFormat="1" ht="15.75" customHeight="1" x14ac:dyDescent="0.2">
      <c r="A13" s="86" t="s">
        <v>11</v>
      </c>
      <c r="B13" s="92" t="s">
        <v>59</v>
      </c>
      <c r="C13" s="93">
        <v>36000</v>
      </c>
      <c r="D13" s="94">
        <v>41737</v>
      </c>
      <c r="E13" s="95" t="s">
        <v>55</v>
      </c>
      <c r="F13" s="67" t="s">
        <v>78</v>
      </c>
      <c r="G13" s="67" t="s">
        <v>84</v>
      </c>
      <c r="H13" s="18"/>
      <c r="I13" s="112" t="s">
        <v>24</v>
      </c>
      <c r="J13" s="121">
        <v>68280</v>
      </c>
      <c r="K13" s="122">
        <f>2200+10000+245</f>
        <v>12445</v>
      </c>
      <c r="L13" s="123">
        <v>41769</v>
      </c>
      <c r="M13" s="108"/>
      <c r="N13" s="107"/>
      <c r="O13" s="107"/>
      <c r="P13" s="107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</row>
    <row r="14" spans="1:29" s="9" customFormat="1" ht="15.75" customHeight="1" x14ac:dyDescent="0.2">
      <c r="A14" s="86" t="s">
        <v>11</v>
      </c>
      <c r="B14" s="70" t="s">
        <v>56</v>
      </c>
      <c r="C14" s="64">
        <v>18000</v>
      </c>
      <c r="D14" s="65">
        <v>41739</v>
      </c>
      <c r="E14" s="106" t="s">
        <v>53</v>
      </c>
      <c r="F14" s="67" t="s">
        <v>78</v>
      </c>
      <c r="G14" s="67" t="s">
        <v>57</v>
      </c>
      <c r="H14" s="18"/>
      <c r="I14" s="112" t="s">
        <v>24</v>
      </c>
      <c r="J14" s="121">
        <v>68280</v>
      </c>
      <c r="K14" s="122">
        <v>4000</v>
      </c>
      <c r="L14" s="123">
        <v>41769</v>
      </c>
      <c r="M14" s="108"/>
      <c r="N14" s="5"/>
      <c r="O14" s="107"/>
      <c r="P14" s="107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</row>
    <row r="15" spans="1:29" s="9" customFormat="1" ht="15.75" customHeight="1" x14ac:dyDescent="0.2">
      <c r="A15" s="86" t="s">
        <v>11</v>
      </c>
      <c r="B15" s="70" t="s">
        <v>45</v>
      </c>
      <c r="C15" s="64">
        <v>10499</v>
      </c>
      <c r="D15" s="65">
        <v>41740</v>
      </c>
      <c r="E15" s="66" t="s">
        <v>70</v>
      </c>
      <c r="F15" s="67" t="s">
        <v>78</v>
      </c>
      <c r="G15" s="67" t="s">
        <v>86</v>
      </c>
      <c r="H15" s="18"/>
      <c r="I15" s="112" t="s">
        <v>24</v>
      </c>
      <c r="J15" s="121">
        <v>69257</v>
      </c>
      <c r="K15" s="122">
        <f>7500+2721</f>
        <v>10221</v>
      </c>
      <c r="L15" s="123">
        <v>41784</v>
      </c>
      <c r="M15" s="108"/>
      <c r="N15" s="5"/>
      <c r="O15" s="107"/>
      <c r="P15" s="107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s="9" customFormat="1" ht="15.75" customHeight="1" x14ac:dyDescent="0.2">
      <c r="A16" s="45" t="s">
        <v>11</v>
      </c>
      <c r="B16" s="29" t="s">
        <v>67</v>
      </c>
      <c r="C16" s="30">
        <v>10000</v>
      </c>
      <c r="D16" s="31">
        <v>41737</v>
      </c>
      <c r="E16" s="24" t="s">
        <v>30</v>
      </c>
      <c r="F16" s="57"/>
      <c r="G16" s="10" t="s">
        <v>80</v>
      </c>
      <c r="H16" s="18"/>
      <c r="I16" s="112" t="s">
        <v>24</v>
      </c>
      <c r="J16" s="121">
        <v>68858</v>
      </c>
      <c r="K16" s="122">
        <v>8300</v>
      </c>
      <c r="L16" s="123">
        <v>41784</v>
      </c>
      <c r="M16" s="104"/>
      <c r="N16" s="5"/>
      <c r="O16" s="107"/>
      <c r="P16" s="107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s="9" customFormat="1" ht="15.75" customHeight="1" x14ac:dyDescent="0.2">
      <c r="A17" s="45" t="s">
        <v>11</v>
      </c>
      <c r="B17" s="29" t="s">
        <v>87</v>
      </c>
      <c r="C17" s="30">
        <v>12000</v>
      </c>
      <c r="D17" s="31">
        <v>41744</v>
      </c>
      <c r="E17" s="32" t="s">
        <v>82</v>
      </c>
      <c r="F17" s="57"/>
      <c r="G17" s="10"/>
      <c r="H17" s="18"/>
      <c r="I17" s="112" t="s">
        <v>24</v>
      </c>
      <c r="J17" s="121">
        <v>68857</v>
      </c>
      <c r="K17" s="122">
        <v>4000</v>
      </c>
      <c r="L17" s="123">
        <v>41784</v>
      </c>
      <c r="M17" s="60"/>
      <c r="N17" s="107"/>
      <c r="O17" s="107"/>
      <c r="P17" s="107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s="9" customFormat="1" ht="15.75" customHeight="1" x14ac:dyDescent="0.2">
      <c r="A18" s="45" t="s">
        <v>11</v>
      </c>
      <c r="B18" s="29" t="s">
        <v>69</v>
      </c>
      <c r="C18" s="30">
        <v>11000</v>
      </c>
      <c r="D18" s="31">
        <v>41746</v>
      </c>
      <c r="E18" s="32" t="s">
        <v>82</v>
      </c>
      <c r="F18" s="57"/>
      <c r="G18" s="10" t="s">
        <v>81</v>
      </c>
      <c r="H18" s="18"/>
      <c r="I18" s="788" t="s">
        <v>12</v>
      </c>
      <c r="J18" s="789"/>
      <c r="K18" s="115">
        <f>SUM(K13:K17)</f>
        <v>38966</v>
      </c>
      <c r="L18" s="16"/>
      <c r="M18" s="22"/>
      <c r="N18" s="107"/>
      <c r="O18" s="107"/>
      <c r="P18" s="107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s="9" customFormat="1" ht="15.75" customHeight="1" x14ac:dyDescent="0.2">
      <c r="A19" s="45" t="s">
        <v>11</v>
      </c>
      <c r="B19" s="29" t="s">
        <v>71</v>
      </c>
      <c r="C19" s="30">
        <v>13400</v>
      </c>
      <c r="D19" s="31">
        <v>41746</v>
      </c>
      <c r="E19" s="32" t="s">
        <v>70</v>
      </c>
      <c r="F19" s="43"/>
      <c r="G19" s="10"/>
      <c r="H19" s="18"/>
      <c r="I19" s="15"/>
      <c r="J19" s="15"/>
      <c r="K19" s="27"/>
      <c r="L19" s="27"/>
      <c r="M19" s="107"/>
      <c r="N19" s="107"/>
      <c r="O19" s="107"/>
      <c r="P19" s="107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s="9" customFormat="1" ht="15.75" customHeight="1" x14ac:dyDescent="0.2">
      <c r="A20" s="45" t="s">
        <v>11</v>
      </c>
      <c r="B20" s="29" t="s">
        <v>68</v>
      </c>
      <c r="C20" s="30">
        <v>9000</v>
      </c>
      <c r="D20" s="31">
        <v>41746</v>
      </c>
      <c r="E20" s="32" t="s">
        <v>82</v>
      </c>
      <c r="F20" s="57"/>
      <c r="G20" s="71" t="s">
        <v>43</v>
      </c>
      <c r="H20" s="18"/>
      <c r="I20" s="781" t="s">
        <v>83</v>
      </c>
      <c r="J20" s="782"/>
      <c r="K20" s="116">
        <f>+K11+K18</f>
        <v>153966</v>
      </c>
      <c r="L20" s="27"/>
      <c r="M20" s="107"/>
      <c r="N20" s="107"/>
      <c r="O20" s="107"/>
      <c r="P20" s="107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s="9" customFormat="1" ht="15.75" customHeight="1" x14ac:dyDescent="0.2">
      <c r="A21" s="45" t="s">
        <v>11</v>
      </c>
      <c r="B21" s="29" t="s">
        <v>94</v>
      </c>
      <c r="C21" s="30">
        <v>7000</v>
      </c>
      <c r="D21" s="31">
        <v>41754</v>
      </c>
      <c r="E21" s="24" t="s">
        <v>95</v>
      </c>
      <c r="F21" s="58"/>
      <c r="G21" s="105"/>
      <c r="H21" s="18"/>
      <c r="I21" s="16"/>
      <c r="J21" s="16"/>
      <c r="K21" s="16"/>
      <c r="L21" s="25"/>
      <c r="M21" s="22"/>
      <c r="N21" s="107"/>
      <c r="O21" s="107"/>
      <c r="P21" s="107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s="9" customFormat="1" ht="15.75" customHeight="1" x14ac:dyDescent="0.2">
      <c r="A22" s="804" t="s">
        <v>12</v>
      </c>
      <c r="B22" s="805"/>
      <c r="C22" s="98">
        <f>SUM(C13:C21)</f>
        <v>126899</v>
      </c>
      <c r="D22" s="62"/>
      <c r="E22" s="32"/>
      <c r="F22" s="78"/>
      <c r="G22" s="10"/>
      <c r="H22" s="18"/>
      <c r="I22" s="16"/>
      <c r="J22" s="16"/>
      <c r="K22" s="16"/>
      <c r="L22" s="25"/>
      <c r="M22" s="22"/>
      <c r="N22" s="107"/>
      <c r="O22" s="107"/>
      <c r="P22" s="107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s="9" customFormat="1" ht="15.75" customHeight="1" x14ac:dyDescent="0.2">
      <c r="A23" s="45"/>
      <c r="B23" s="75"/>
      <c r="C23" s="76"/>
      <c r="D23" s="77"/>
      <c r="E23" s="32"/>
      <c r="F23" s="78"/>
      <c r="G23" s="10"/>
      <c r="H23" s="18"/>
      <c r="I23" s="16"/>
      <c r="J23" s="16"/>
      <c r="K23" s="16"/>
      <c r="L23" s="25"/>
      <c r="M23" s="22"/>
      <c r="N23" s="107"/>
      <c r="O23" s="107"/>
      <c r="P23" s="107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</row>
    <row r="24" spans="1:29" s="9" customFormat="1" ht="15.75" customHeight="1" x14ac:dyDescent="0.2">
      <c r="A24" s="10" t="s">
        <v>24</v>
      </c>
      <c r="B24" s="72">
        <v>68857</v>
      </c>
      <c r="C24" s="73">
        <v>16000</v>
      </c>
      <c r="D24" s="74">
        <v>41749</v>
      </c>
      <c r="E24" s="32" t="s">
        <v>55</v>
      </c>
      <c r="F24" s="5"/>
      <c r="G24" s="10"/>
      <c r="H24" s="18"/>
      <c r="I24" s="15"/>
      <c r="J24" s="15"/>
      <c r="K24" s="15"/>
      <c r="L24" s="15"/>
      <c r="M24" s="107"/>
      <c r="N24" s="107"/>
      <c r="O24" s="107"/>
      <c r="P24" s="107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</row>
    <row r="25" spans="1:29" s="9" customFormat="1" ht="15.75" customHeight="1" x14ac:dyDescent="0.2">
      <c r="A25" s="10" t="s">
        <v>24</v>
      </c>
      <c r="B25" s="41">
        <v>68280</v>
      </c>
      <c r="C25" s="42">
        <v>5000</v>
      </c>
      <c r="D25" s="35">
        <v>41749</v>
      </c>
      <c r="E25" s="32" t="s">
        <v>55</v>
      </c>
      <c r="F25" s="57"/>
      <c r="G25" s="10"/>
      <c r="H25" s="18"/>
      <c r="I25" s="15"/>
      <c r="J25" s="15"/>
      <c r="K25" s="15"/>
      <c r="L25" s="15"/>
      <c r="M25" s="107"/>
      <c r="N25" s="107"/>
      <c r="O25" s="107"/>
      <c r="P25" s="107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</row>
    <row r="26" spans="1:29" s="9" customFormat="1" ht="15.75" customHeight="1" x14ac:dyDescent="0.2">
      <c r="A26" s="806" t="s">
        <v>12</v>
      </c>
      <c r="B26" s="807"/>
      <c r="C26" s="99">
        <f>SUM(C24:C25)</f>
        <v>21000</v>
      </c>
      <c r="D26" s="31"/>
      <c r="E26" s="32"/>
      <c r="F26" s="58"/>
      <c r="G26" s="10"/>
      <c r="H26" s="18"/>
      <c r="I26" s="775"/>
      <c r="J26" s="775"/>
      <c r="K26" s="775"/>
      <c r="L26" s="775"/>
      <c r="M26" s="775"/>
      <c r="N26" s="107"/>
      <c r="O26" s="107"/>
      <c r="P26" s="107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</row>
    <row r="27" spans="1:29" s="9" customFormat="1" ht="15.75" customHeight="1" x14ac:dyDescent="0.2">
      <c r="A27" s="26"/>
      <c r="B27" s="83"/>
      <c r="C27" s="30"/>
      <c r="D27" s="31"/>
      <c r="E27" s="32"/>
      <c r="F27" s="43"/>
      <c r="G27" s="22"/>
      <c r="H27" s="18"/>
      <c r="I27" s="776"/>
      <c r="J27" s="776"/>
      <c r="K27" s="33"/>
      <c r="L27" s="33"/>
      <c r="M27" s="103"/>
      <c r="N27" s="107"/>
      <c r="O27" s="107"/>
      <c r="P27" s="107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</row>
    <row r="28" spans="1:29" s="9" customFormat="1" ht="15.75" customHeight="1" x14ac:dyDescent="0.2">
      <c r="A28" s="787" t="s">
        <v>83</v>
      </c>
      <c r="B28" s="787"/>
      <c r="C28" s="99">
        <f>+C22+C26</f>
        <v>147899</v>
      </c>
      <c r="D28" s="31"/>
      <c r="E28" s="32"/>
      <c r="F28" s="43"/>
      <c r="G28" s="10"/>
      <c r="H28" s="18"/>
      <c r="I28" s="783"/>
      <c r="J28" s="783"/>
      <c r="K28" s="54"/>
      <c r="L28" s="40"/>
      <c r="M28" s="784"/>
      <c r="N28" s="107"/>
      <c r="O28" s="107"/>
      <c r="P28" s="107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</row>
    <row r="29" spans="1:29" s="9" customFormat="1" ht="12.75" customHeight="1" x14ac:dyDescent="0.2">
      <c r="A29" s="96"/>
      <c r="B29" s="59"/>
      <c r="C29" s="30"/>
      <c r="D29" s="31"/>
      <c r="E29" s="32"/>
      <c r="F29" s="57"/>
      <c r="G29" s="10"/>
      <c r="H29" s="18"/>
      <c r="I29" s="776"/>
      <c r="J29" s="776"/>
      <c r="K29" s="33"/>
      <c r="L29" s="33"/>
      <c r="M29" s="784"/>
      <c r="N29" s="107"/>
      <c r="O29" s="107"/>
      <c r="P29" s="107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s="9" customFormat="1" ht="12.75" customHeight="1" x14ac:dyDescent="0.2">
      <c r="A30" s="785"/>
      <c r="B30" s="786"/>
      <c r="C30" s="101"/>
      <c r="D30" s="11"/>
      <c r="E30" s="32"/>
      <c r="F30" s="27"/>
      <c r="G30" s="10"/>
      <c r="H30" s="18"/>
      <c r="I30" s="55"/>
      <c r="J30" s="55"/>
      <c r="K30" s="55"/>
      <c r="L30" s="55"/>
      <c r="M30" s="79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s="9" customFormat="1" ht="18" customHeight="1" x14ac:dyDescent="0.2">
      <c r="A31" s="790" t="s">
        <v>90</v>
      </c>
      <c r="B31" s="791"/>
      <c r="C31" s="791"/>
      <c r="D31" s="791"/>
      <c r="E31" s="791"/>
      <c r="F31" s="791"/>
      <c r="G31" s="791"/>
      <c r="H31" s="792"/>
      <c r="J31" s="19"/>
      <c r="K31" s="19"/>
      <c r="L31" s="19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s="3" customFormat="1" x14ac:dyDescent="0.25">
      <c r="A32" s="793">
        <v>41760</v>
      </c>
      <c r="B32" s="794"/>
      <c r="C32" s="794"/>
      <c r="D32" s="794"/>
      <c r="E32" s="794"/>
      <c r="F32" s="794"/>
      <c r="G32" s="794"/>
      <c r="H32" s="795"/>
      <c r="I32" s="81"/>
      <c r="J32" s="12"/>
      <c r="K32" s="12"/>
      <c r="L32" s="12"/>
      <c r="M32" s="79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s="3" customFormat="1" x14ac:dyDescent="0.25">
      <c r="A33" s="8" t="s">
        <v>7</v>
      </c>
      <c r="B33" s="8" t="s">
        <v>8</v>
      </c>
      <c r="C33" s="8" t="s">
        <v>9</v>
      </c>
      <c r="D33" s="8" t="s">
        <v>10</v>
      </c>
      <c r="E33" s="8" t="s">
        <v>21</v>
      </c>
      <c r="F33" s="28" t="s">
        <v>62</v>
      </c>
      <c r="G33" s="8" t="s">
        <v>22</v>
      </c>
      <c r="H33" s="107"/>
      <c r="I33" s="79"/>
      <c r="J33" s="79"/>
      <c r="K33" s="79"/>
      <c r="L33" s="79"/>
      <c r="M33" s="79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s="3" customFormat="1" ht="17.25" customHeight="1" x14ac:dyDescent="0.25">
      <c r="A34" s="117" t="s">
        <v>11</v>
      </c>
      <c r="B34" s="118" t="s">
        <v>52</v>
      </c>
      <c r="C34" s="110">
        <v>9000</v>
      </c>
      <c r="D34" s="31">
        <v>41766</v>
      </c>
      <c r="E34" s="32" t="s">
        <v>53</v>
      </c>
      <c r="F34" s="108"/>
      <c r="G34" s="107"/>
      <c r="H34" s="107"/>
      <c r="I34" s="79"/>
      <c r="J34" s="79"/>
      <c r="K34" s="79"/>
      <c r="L34" s="79"/>
      <c r="M34" s="79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s="3" customFormat="1" ht="17.25" customHeight="1" x14ac:dyDescent="0.25">
      <c r="A35" s="117" t="s">
        <v>11</v>
      </c>
      <c r="B35" s="118" t="s">
        <v>56</v>
      </c>
      <c r="C35" s="114">
        <v>7000</v>
      </c>
      <c r="D35" s="31">
        <v>41767</v>
      </c>
      <c r="E35" s="32" t="s">
        <v>53</v>
      </c>
      <c r="F35" s="108"/>
      <c r="G35" s="107"/>
      <c r="H35" s="107"/>
      <c r="I35" s="79"/>
      <c r="J35" s="79"/>
      <c r="K35" s="79"/>
      <c r="L35" s="79"/>
      <c r="M35" s="79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s="3" customFormat="1" ht="17.25" customHeight="1" x14ac:dyDescent="0.25">
      <c r="A36" s="117" t="s">
        <v>11</v>
      </c>
      <c r="B36" s="118" t="s">
        <v>76</v>
      </c>
      <c r="C36" s="114">
        <v>6500</v>
      </c>
      <c r="D36" s="31">
        <v>41767</v>
      </c>
      <c r="E36" s="32" t="s">
        <v>53</v>
      </c>
      <c r="F36" s="108"/>
      <c r="G36" s="109"/>
      <c r="H36" s="107"/>
      <c r="I36" s="79"/>
      <c r="J36" s="79"/>
      <c r="K36" s="79"/>
      <c r="L36" s="79"/>
      <c r="M36" s="7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s="3" customFormat="1" ht="17.25" customHeight="1" x14ac:dyDescent="0.25">
      <c r="A37" s="117" t="s">
        <v>11</v>
      </c>
      <c r="B37" s="118" t="s">
        <v>54</v>
      </c>
      <c r="C37" s="114">
        <v>16000</v>
      </c>
      <c r="D37" s="31">
        <v>41773</v>
      </c>
      <c r="E37" s="32" t="s">
        <v>55</v>
      </c>
      <c r="F37" s="108"/>
      <c r="G37" s="109" t="s">
        <v>92</v>
      </c>
      <c r="H37" s="84"/>
      <c r="I37" s="79"/>
      <c r="J37" s="79"/>
      <c r="K37" s="79"/>
      <c r="L37" s="79"/>
      <c r="M37" s="7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s="3" customFormat="1" ht="13.5" customHeight="1" x14ac:dyDescent="0.25">
      <c r="A38" s="117" t="s">
        <v>11</v>
      </c>
      <c r="B38" s="119" t="s">
        <v>66</v>
      </c>
      <c r="C38" s="114">
        <v>10500</v>
      </c>
      <c r="D38" s="31">
        <v>41789</v>
      </c>
      <c r="E38" s="32" t="s">
        <v>93</v>
      </c>
      <c r="F38" s="108"/>
      <c r="G38" s="107"/>
      <c r="H38" s="107"/>
      <c r="I38" s="79"/>
      <c r="J38" s="79"/>
      <c r="K38" s="79"/>
      <c r="L38" s="79"/>
      <c r="M38" s="7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s="3" customFormat="1" ht="13.5" customHeight="1" x14ac:dyDescent="0.25">
      <c r="A39" s="117" t="s">
        <v>11</v>
      </c>
      <c r="B39" s="120" t="s">
        <v>58</v>
      </c>
      <c r="C39" s="108">
        <v>66000</v>
      </c>
      <c r="D39" s="111">
        <v>41777</v>
      </c>
      <c r="E39" s="84" t="s">
        <v>55</v>
      </c>
      <c r="F39" s="108"/>
      <c r="G39" s="109"/>
      <c r="H39" s="30"/>
      <c r="I39" s="79"/>
      <c r="J39" s="79"/>
      <c r="K39" s="79"/>
      <c r="L39" s="79"/>
      <c r="M39" s="79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s="3" customFormat="1" ht="13.5" customHeight="1" x14ac:dyDescent="0.25">
      <c r="A40" s="45"/>
      <c r="B40" s="110"/>
      <c r="C40" s="108"/>
      <c r="D40" s="111"/>
      <c r="E40" s="84"/>
      <c r="F40" s="107"/>
      <c r="G40" s="109"/>
      <c r="H40" s="107"/>
      <c r="I40" s="79"/>
      <c r="J40" s="79"/>
      <c r="K40" s="79"/>
      <c r="L40" s="79"/>
      <c r="M40" s="7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s="3" customFormat="1" ht="13.5" customHeight="1" x14ac:dyDescent="0.25">
      <c r="A41" s="796" t="s">
        <v>12</v>
      </c>
      <c r="B41" s="797"/>
      <c r="C41" s="113">
        <f>SUM(C34:C40)</f>
        <v>115000</v>
      </c>
      <c r="D41" s="25"/>
      <c r="E41" s="36"/>
      <c r="F41" s="107"/>
      <c r="G41" s="107"/>
      <c r="H41" s="107"/>
      <c r="I41" s="79"/>
      <c r="J41" s="79"/>
      <c r="K41" s="79"/>
      <c r="L41" s="79"/>
      <c r="M41" s="79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s="3" customFormat="1" x14ac:dyDescent="0.25">
      <c r="A42" s="16"/>
      <c r="B42" s="16"/>
      <c r="C42" s="25"/>
      <c r="D42" s="25"/>
      <c r="E42" s="22"/>
      <c r="F42" s="107"/>
      <c r="G42" s="107"/>
      <c r="H42" s="107"/>
      <c r="I42" s="79"/>
      <c r="J42" s="79"/>
      <c r="K42" s="79"/>
      <c r="L42" s="79"/>
      <c r="M42" s="7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s="3" customFormat="1" x14ac:dyDescent="0.25">
      <c r="A43" s="112" t="s">
        <v>24</v>
      </c>
      <c r="B43" s="121">
        <v>68280</v>
      </c>
      <c r="C43" s="122">
        <f>2200+10000+245</f>
        <v>12445</v>
      </c>
      <c r="D43" s="123">
        <v>41769</v>
      </c>
      <c r="E43" s="108"/>
      <c r="F43" s="107"/>
      <c r="G43" s="107"/>
      <c r="H43" s="107"/>
      <c r="I43" s="79"/>
      <c r="J43" s="79"/>
      <c r="K43" s="79"/>
      <c r="L43" s="79"/>
      <c r="M43" s="7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s="3" customFormat="1" x14ac:dyDescent="0.25">
      <c r="A44" s="112" t="s">
        <v>24</v>
      </c>
      <c r="B44" s="121">
        <v>68280</v>
      </c>
      <c r="C44" s="122">
        <v>4000</v>
      </c>
      <c r="D44" s="123">
        <v>41769</v>
      </c>
      <c r="E44" s="108"/>
      <c r="F44" s="5"/>
      <c r="G44" s="107"/>
      <c r="H44" s="107"/>
      <c r="I44" s="79"/>
      <c r="J44" s="79"/>
      <c r="K44" s="79"/>
      <c r="L44" s="79"/>
      <c r="M44" s="7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s="3" customFormat="1" x14ac:dyDescent="0.25">
      <c r="A45" s="112" t="s">
        <v>24</v>
      </c>
      <c r="B45" s="121">
        <v>69257</v>
      </c>
      <c r="C45" s="122">
        <f>7500+2721</f>
        <v>10221</v>
      </c>
      <c r="D45" s="123">
        <v>41784</v>
      </c>
      <c r="E45" s="108"/>
      <c r="F45" s="5"/>
      <c r="G45" s="107"/>
      <c r="H45" s="107"/>
      <c r="I45" s="79"/>
      <c r="J45" s="79"/>
      <c r="K45" s="79"/>
      <c r="L45" s="79"/>
      <c r="M45" s="79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s="3" customFormat="1" x14ac:dyDescent="0.25">
      <c r="A46" s="112" t="s">
        <v>24</v>
      </c>
      <c r="B46" s="121">
        <v>68858</v>
      </c>
      <c r="C46" s="122">
        <v>8300</v>
      </c>
      <c r="D46" s="123">
        <v>41784</v>
      </c>
      <c r="E46" s="109"/>
      <c r="F46" s="5"/>
      <c r="G46" s="107"/>
      <c r="H46" s="107"/>
      <c r="I46" s="79"/>
      <c r="J46" s="79"/>
      <c r="K46" s="79"/>
      <c r="L46" s="79"/>
      <c r="M46" s="79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s="3" customFormat="1" x14ac:dyDescent="0.25">
      <c r="A47" s="112" t="s">
        <v>24</v>
      </c>
      <c r="B47" s="121">
        <v>68857</v>
      </c>
      <c r="C47" s="122">
        <v>4000</v>
      </c>
      <c r="D47" s="123">
        <v>41784</v>
      </c>
      <c r="E47" s="60"/>
      <c r="F47" s="107"/>
      <c r="G47" s="107"/>
      <c r="H47" s="107"/>
      <c r="I47" s="79"/>
      <c r="J47" s="79"/>
      <c r="K47" s="79"/>
      <c r="L47" s="79"/>
      <c r="M47" s="79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s="3" customFormat="1" x14ac:dyDescent="0.25">
      <c r="A48" s="788" t="s">
        <v>12</v>
      </c>
      <c r="B48" s="789"/>
      <c r="C48" s="115">
        <f>SUM(C43:C47)</f>
        <v>38966</v>
      </c>
      <c r="D48" s="16"/>
      <c r="E48" s="22"/>
      <c r="F48" s="107"/>
      <c r="G48" s="107"/>
      <c r="H48" s="107"/>
      <c r="I48" s="79"/>
      <c r="J48" s="79"/>
      <c r="K48" s="79"/>
      <c r="L48" s="79"/>
      <c r="M48" s="79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s="3" customFormat="1" x14ac:dyDescent="0.25">
      <c r="A49" s="15"/>
      <c r="B49" s="15"/>
      <c r="C49" s="27"/>
      <c r="D49" s="27"/>
      <c r="E49" s="107"/>
      <c r="F49" s="107"/>
      <c r="G49" s="107"/>
      <c r="H49" s="107"/>
      <c r="I49" s="79"/>
      <c r="J49" s="79"/>
      <c r="K49" s="79"/>
      <c r="L49" s="79"/>
      <c r="M49" s="79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s="3" customFormat="1" x14ac:dyDescent="0.25">
      <c r="A50" s="781" t="s">
        <v>83</v>
      </c>
      <c r="B50" s="782"/>
      <c r="C50" s="116">
        <f>+C41+C48</f>
        <v>153966</v>
      </c>
      <c r="D50" s="27"/>
      <c r="E50" s="107"/>
      <c r="F50" s="107"/>
      <c r="G50" s="107"/>
      <c r="H50" s="107"/>
      <c r="I50" s="79"/>
      <c r="J50" s="79"/>
      <c r="K50" s="79"/>
      <c r="L50" s="79"/>
      <c r="M50" s="79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x14ac:dyDescent="0.25">
      <c r="A51" s="20"/>
      <c r="B51" s="20"/>
      <c r="C51" s="20"/>
      <c r="D51" s="20"/>
      <c r="E51" s="20"/>
      <c r="F51" s="20"/>
      <c r="G51" s="6"/>
      <c r="H51" s="20"/>
      <c r="I51" s="23"/>
      <c r="J51" s="23"/>
      <c r="K51" s="23"/>
      <c r="L51" s="23"/>
      <c r="M51" s="2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x14ac:dyDescent="0.25">
      <c r="B52" s="6"/>
      <c r="C52" s="2"/>
      <c r="D52" s="2"/>
      <c r="E52" s="2"/>
      <c r="F52" s="2"/>
      <c r="G52" s="6"/>
      <c r="H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5">
      <c r="B53" s="6"/>
      <c r="C53" s="2"/>
      <c r="D53" s="2"/>
      <c r="E53" s="2"/>
      <c r="F53" s="2"/>
      <c r="G53" s="6"/>
      <c r="H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25"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5"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5"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5"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5"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25"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5"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25"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5"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5"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3:21" x14ac:dyDescent="0.25">
      <c r="M65" s="1"/>
      <c r="N65" s="1"/>
      <c r="O65" s="1"/>
      <c r="P65" s="1"/>
      <c r="Q65" s="1"/>
      <c r="R65" s="1"/>
      <c r="S65" s="1"/>
      <c r="T65" s="1"/>
      <c r="U65" s="1"/>
    </row>
    <row r="66" spans="13:21" x14ac:dyDescent="0.25">
      <c r="M66" s="1"/>
      <c r="N66" s="1"/>
      <c r="O66" s="1"/>
      <c r="P66" s="1"/>
      <c r="Q66" s="1"/>
      <c r="R66" s="1"/>
      <c r="S66" s="1"/>
      <c r="T66" s="1"/>
      <c r="U66" s="1"/>
    </row>
    <row r="67" spans="13:21" x14ac:dyDescent="0.25">
      <c r="M67" s="1"/>
      <c r="N67" s="1"/>
      <c r="O67" s="1"/>
      <c r="P67" s="1"/>
      <c r="Q67" s="1"/>
      <c r="R67" s="1"/>
      <c r="S67" s="1"/>
      <c r="T67" s="1"/>
      <c r="U67" s="1"/>
    </row>
    <row r="68" spans="13:21" x14ac:dyDescent="0.25">
      <c r="M68" s="1"/>
      <c r="N68" s="1"/>
      <c r="O68" s="1"/>
      <c r="P68" s="1"/>
      <c r="Q68" s="1"/>
      <c r="R68" s="1"/>
      <c r="S68" s="1"/>
      <c r="T68" s="1"/>
      <c r="U68" s="1"/>
    </row>
    <row r="69" spans="13:21" x14ac:dyDescent="0.25">
      <c r="M69" s="1"/>
      <c r="N69" s="1"/>
      <c r="O69" s="1"/>
      <c r="P69" s="1"/>
      <c r="Q69" s="1"/>
      <c r="R69" s="1"/>
      <c r="S69" s="1"/>
      <c r="T69" s="1"/>
      <c r="U69" s="1"/>
    </row>
    <row r="70" spans="13:21" x14ac:dyDescent="0.25">
      <c r="M70" s="1"/>
      <c r="N70" s="1"/>
      <c r="O70" s="1"/>
      <c r="P70" s="1"/>
      <c r="Q70" s="1"/>
      <c r="R70" s="1"/>
      <c r="S70" s="1"/>
      <c r="T70" s="1"/>
      <c r="U70" s="1"/>
    </row>
    <row r="71" spans="13:21" x14ac:dyDescent="0.25">
      <c r="M71" s="1"/>
      <c r="N71" s="1"/>
      <c r="O71" s="1"/>
      <c r="P71" s="1"/>
      <c r="Q71" s="1"/>
      <c r="R71" s="1"/>
      <c r="S71" s="1"/>
      <c r="T71" s="1"/>
      <c r="U71" s="1"/>
    </row>
    <row r="72" spans="13:21" x14ac:dyDescent="0.25">
      <c r="M72" s="1"/>
      <c r="N72" s="1"/>
      <c r="O72" s="1"/>
      <c r="P72" s="1"/>
      <c r="Q72" s="1"/>
      <c r="R72" s="1"/>
      <c r="S72" s="1"/>
      <c r="T72" s="1"/>
      <c r="U72" s="1"/>
    </row>
    <row r="73" spans="13:21" x14ac:dyDescent="0.25">
      <c r="M73" s="1"/>
      <c r="N73" s="1"/>
      <c r="O73" s="1"/>
      <c r="P73" s="1"/>
      <c r="Q73" s="1"/>
      <c r="R73" s="1"/>
      <c r="S73" s="1"/>
      <c r="T73" s="1"/>
      <c r="U73" s="1"/>
    </row>
    <row r="74" spans="13:21" x14ac:dyDescent="0.25">
      <c r="M74" s="1"/>
      <c r="N74" s="1"/>
      <c r="O74" s="1"/>
      <c r="P74" s="1"/>
      <c r="Q74" s="1"/>
      <c r="R74" s="1"/>
      <c r="S74" s="1"/>
      <c r="T74" s="1"/>
      <c r="U74" s="1"/>
    </row>
    <row r="75" spans="13:21" x14ac:dyDescent="0.25">
      <c r="M75" s="1"/>
      <c r="N75" s="1"/>
      <c r="O75" s="1"/>
      <c r="P75" s="1"/>
      <c r="Q75" s="1"/>
      <c r="R75" s="1"/>
      <c r="S75" s="1"/>
      <c r="T75" s="1"/>
      <c r="U75" s="1"/>
    </row>
    <row r="76" spans="13:21" x14ac:dyDescent="0.25">
      <c r="M76" s="1"/>
      <c r="N76" s="1"/>
      <c r="O76" s="1"/>
      <c r="P76" s="1"/>
      <c r="Q76" s="1"/>
      <c r="R76" s="1"/>
      <c r="S76" s="1"/>
      <c r="T76" s="1"/>
      <c r="U76" s="1"/>
    </row>
    <row r="77" spans="13:21" x14ac:dyDescent="0.25">
      <c r="M77" s="1"/>
      <c r="N77" s="1"/>
      <c r="O77" s="1"/>
      <c r="P77" s="1"/>
      <c r="Q77" s="1"/>
      <c r="R77" s="1"/>
      <c r="S77" s="1"/>
      <c r="T77" s="1"/>
      <c r="U77" s="1"/>
    </row>
    <row r="78" spans="13:21" x14ac:dyDescent="0.25">
      <c r="M78" s="1"/>
      <c r="N78" s="1"/>
      <c r="O78" s="1"/>
      <c r="P78" s="1"/>
      <c r="Q78" s="1"/>
      <c r="R78" s="1"/>
      <c r="S78" s="1"/>
      <c r="T78" s="1"/>
      <c r="U78" s="1"/>
    </row>
    <row r="79" spans="13:21" x14ac:dyDescent="0.25">
      <c r="M79" s="1"/>
      <c r="N79" s="1"/>
      <c r="O79" s="1"/>
      <c r="P79" s="1"/>
      <c r="Q79" s="1"/>
      <c r="R79" s="1"/>
      <c r="S79" s="1"/>
      <c r="T79" s="1"/>
      <c r="U79" s="1"/>
    </row>
    <row r="80" spans="13:21" x14ac:dyDescent="0.25">
      <c r="M80" s="1"/>
      <c r="N80" s="1"/>
      <c r="O80" s="1"/>
      <c r="P80" s="1"/>
      <c r="Q80" s="1"/>
      <c r="R80" s="1"/>
      <c r="S80" s="1"/>
      <c r="T80" s="1"/>
      <c r="U80" s="1"/>
    </row>
    <row r="81" spans="13:21" x14ac:dyDescent="0.25">
      <c r="M81" s="1"/>
      <c r="N81" s="1"/>
      <c r="O81" s="1"/>
      <c r="P81" s="1"/>
      <c r="Q81" s="1"/>
      <c r="R81" s="1"/>
      <c r="S81" s="1"/>
      <c r="T81" s="1"/>
      <c r="U81" s="1"/>
    </row>
    <row r="82" spans="13:21" x14ac:dyDescent="0.25">
      <c r="M82" s="1"/>
      <c r="N82" s="1"/>
      <c r="O82" s="1"/>
      <c r="P82" s="1"/>
      <c r="Q82" s="1"/>
      <c r="R82" s="1"/>
      <c r="S82" s="1"/>
      <c r="T82" s="1"/>
      <c r="U82" s="1"/>
    </row>
    <row r="83" spans="13:21" x14ac:dyDescent="0.25">
      <c r="M83" s="1"/>
      <c r="N83" s="1"/>
      <c r="O83" s="1"/>
      <c r="P83" s="1"/>
      <c r="Q83" s="1"/>
      <c r="R83" s="1"/>
      <c r="S83" s="1"/>
      <c r="T83" s="1"/>
      <c r="U83" s="1"/>
    </row>
    <row r="84" spans="13:21" x14ac:dyDescent="0.25">
      <c r="M84" s="1"/>
      <c r="N84" s="1"/>
      <c r="O84" s="1"/>
      <c r="P84" s="1"/>
      <c r="Q84" s="1"/>
      <c r="R84" s="1"/>
      <c r="S84" s="1"/>
      <c r="T84" s="1"/>
      <c r="U84" s="1"/>
    </row>
    <row r="85" spans="13:21" x14ac:dyDescent="0.25">
      <c r="M85" s="1"/>
      <c r="N85" s="1"/>
      <c r="O85" s="1"/>
      <c r="P85" s="1"/>
      <c r="Q85" s="1"/>
      <c r="R85" s="1"/>
      <c r="S85" s="1"/>
      <c r="T85" s="1"/>
      <c r="U85" s="1"/>
    </row>
    <row r="86" spans="13:21" x14ac:dyDescent="0.25">
      <c r="M86" s="1"/>
      <c r="N86" s="1"/>
      <c r="O86" s="1"/>
      <c r="P86" s="1"/>
      <c r="Q86" s="1"/>
      <c r="R86" s="1"/>
      <c r="S86" s="1"/>
      <c r="T86" s="1"/>
      <c r="U86" s="1"/>
    </row>
    <row r="87" spans="13:21" x14ac:dyDescent="0.25">
      <c r="M87" s="1"/>
      <c r="N87" s="1"/>
      <c r="O87" s="1"/>
      <c r="P87" s="1"/>
      <c r="Q87" s="1"/>
      <c r="R87" s="1"/>
      <c r="S87" s="1"/>
      <c r="T87" s="1"/>
      <c r="U87" s="1"/>
    </row>
    <row r="88" spans="13:21" x14ac:dyDescent="0.25">
      <c r="M88" s="1"/>
      <c r="N88" s="1"/>
      <c r="O88" s="1"/>
      <c r="P88" s="1"/>
      <c r="Q88" s="1"/>
      <c r="R88" s="1"/>
      <c r="S88" s="1"/>
      <c r="T88" s="1"/>
      <c r="U88" s="1"/>
    </row>
    <row r="89" spans="13:21" x14ac:dyDescent="0.25">
      <c r="M89" s="1"/>
      <c r="N89" s="1"/>
      <c r="O89" s="1"/>
      <c r="P89" s="1"/>
      <c r="Q89" s="1"/>
      <c r="R89" s="1"/>
      <c r="S89" s="1"/>
      <c r="T89" s="1"/>
      <c r="U89" s="1"/>
    </row>
    <row r="90" spans="13:21" x14ac:dyDescent="0.25">
      <c r="M90" s="1"/>
      <c r="N90" s="1"/>
      <c r="O90" s="1"/>
      <c r="P90" s="1"/>
      <c r="Q90" s="1"/>
      <c r="R90" s="1"/>
      <c r="S90" s="1"/>
      <c r="T90" s="1"/>
      <c r="U90" s="1"/>
    </row>
    <row r="91" spans="13:21" x14ac:dyDescent="0.25">
      <c r="M91" s="1"/>
      <c r="N91" s="1"/>
      <c r="O91" s="1"/>
      <c r="P91" s="1"/>
      <c r="Q91" s="1"/>
      <c r="R91" s="1"/>
      <c r="S91" s="1"/>
      <c r="T91" s="1"/>
      <c r="U91" s="1"/>
    </row>
  </sheetData>
  <mergeCells count="24">
    <mergeCell ref="A1:G1"/>
    <mergeCell ref="A2:G2"/>
    <mergeCell ref="I26:M26"/>
    <mergeCell ref="A12:G12"/>
    <mergeCell ref="A22:B22"/>
    <mergeCell ref="A26:B26"/>
    <mergeCell ref="A8:B8"/>
    <mergeCell ref="A10:B10"/>
    <mergeCell ref="I1:P1"/>
    <mergeCell ref="I2:P2"/>
    <mergeCell ref="I11:J11"/>
    <mergeCell ref="I20:J20"/>
    <mergeCell ref="I18:J18"/>
    <mergeCell ref="A50:B50"/>
    <mergeCell ref="I27:J27"/>
    <mergeCell ref="I28:J28"/>
    <mergeCell ref="M28:M29"/>
    <mergeCell ref="I29:J29"/>
    <mergeCell ref="A30:B30"/>
    <mergeCell ref="A28:B28"/>
    <mergeCell ref="A48:B48"/>
    <mergeCell ref="A31:H31"/>
    <mergeCell ref="A32:H32"/>
    <mergeCell ref="A41:B41"/>
  </mergeCells>
  <pageMargins left="0.7" right="0.2" top="1" bottom="0.25" header="0.3" footer="0.3"/>
  <pageSetup paperSize="9" scale="105" orientation="portrait" r:id="rId1"/>
  <rowBreaks count="1" manualBreakCount="1">
    <brk id="11" max="15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zoomScaleNormal="100" workbookViewId="0">
      <selection activeCell="C10" sqref="C10"/>
    </sheetView>
  </sheetViews>
  <sheetFormatPr defaultRowHeight="15" x14ac:dyDescent="0.25"/>
  <cols>
    <col min="1" max="1" width="17.42578125" style="260" customWidth="1"/>
    <col min="2" max="2" width="16" style="260" customWidth="1"/>
    <col min="3" max="4" width="12.140625" style="260" customWidth="1"/>
    <col min="5" max="5" width="10.7109375" style="260" customWidth="1"/>
    <col min="6" max="6" width="27.42578125" style="260" customWidth="1"/>
    <col min="7" max="7" width="9.140625" style="260"/>
    <col min="8" max="9" width="14.5703125" style="260" customWidth="1"/>
    <col min="10" max="16384" width="9.140625" style="260"/>
  </cols>
  <sheetData>
    <row r="1" spans="1:9" x14ac:dyDescent="0.25">
      <c r="A1" s="810" t="s">
        <v>257</v>
      </c>
      <c r="B1" s="810"/>
      <c r="C1" s="810"/>
    </row>
    <row r="2" spans="1:9" ht="18.75" customHeight="1" x14ac:dyDescent="0.25">
      <c r="A2" s="335" t="s">
        <v>8</v>
      </c>
      <c r="B2" s="335" t="s">
        <v>253</v>
      </c>
      <c r="C2" s="334"/>
      <c r="D2" s="312"/>
      <c r="E2" s="312"/>
      <c r="F2" s="312"/>
      <c r="G2" s="3"/>
      <c r="H2" s="328"/>
      <c r="I2" s="328"/>
    </row>
    <row r="3" spans="1:9" ht="19.5" customHeight="1" x14ac:dyDescent="0.25">
      <c r="A3" s="336">
        <v>70610</v>
      </c>
      <c r="B3" s="337">
        <v>2000</v>
      </c>
      <c r="C3" s="334"/>
      <c r="D3" s="312"/>
      <c r="E3" s="313"/>
      <c r="F3" s="312"/>
      <c r="G3" s="3"/>
      <c r="H3" s="312"/>
      <c r="I3" s="312"/>
    </row>
    <row r="4" spans="1:9" ht="19.5" customHeight="1" x14ac:dyDescent="0.25">
      <c r="A4" s="336">
        <v>70610</v>
      </c>
      <c r="B4" s="337">
        <v>4000</v>
      </c>
      <c r="C4" s="262"/>
      <c r="D4" s="327"/>
      <c r="E4" s="313"/>
      <c r="F4" s="312"/>
      <c r="G4" s="3"/>
      <c r="H4" s="312"/>
      <c r="I4" s="312"/>
    </row>
    <row r="5" spans="1:9" x14ac:dyDescent="0.25">
      <c r="A5" s="337">
        <v>75455</v>
      </c>
      <c r="B5" s="337">
        <v>12360</v>
      </c>
      <c r="C5" s="264"/>
      <c r="D5" s="132"/>
      <c r="E5" s="329"/>
      <c r="F5" s="330"/>
      <c r="G5" s="3"/>
      <c r="H5" s="19"/>
      <c r="I5" s="132"/>
    </row>
    <row r="6" spans="1:9" x14ac:dyDescent="0.25">
      <c r="A6" s="336">
        <v>70117</v>
      </c>
      <c r="B6" s="337">
        <v>1500</v>
      </c>
      <c r="C6" s="262"/>
      <c r="D6" s="19"/>
      <c r="E6" s="329"/>
      <c r="F6" s="137"/>
      <c r="G6" s="3"/>
      <c r="H6" s="19"/>
      <c r="I6" s="19"/>
    </row>
    <row r="7" spans="1:9" x14ac:dyDescent="0.25">
      <c r="A7" s="338">
        <v>75368</v>
      </c>
      <c r="B7" s="336">
        <v>9000</v>
      </c>
      <c r="C7" s="264"/>
      <c r="D7" s="132"/>
      <c r="E7" s="329"/>
      <c r="F7" s="137"/>
      <c r="G7" s="3"/>
      <c r="H7" s="19"/>
      <c r="I7" s="132"/>
    </row>
    <row r="8" spans="1:9" x14ac:dyDescent="0.25">
      <c r="A8" s="336">
        <v>75049</v>
      </c>
      <c r="B8" s="336">
        <v>9800</v>
      </c>
      <c r="C8" s="262"/>
      <c r="D8" s="19"/>
      <c r="E8" s="329"/>
      <c r="F8" s="138"/>
      <c r="G8" s="3"/>
      <c r="H8" s="19"/>
      <c r="I8" s="19"/>
    </row>
    <row r="9" spans="1:9" x14ac:dyDescent="0.25">
      <c r="A9" s="336">
        <v>75367</v>
      </c>
      <c r="B9" s="336">
        <v>7505</v>
      </c>
      <c r="C9" s="262"/>
      <c r="D9" s="19"/>
      <c r="E9" s="329"/>
      <c r="F9" s="55"/>
      <c r="G9" s="3"/>
      <c r="H9" s="19"/>
      <c r="I9" s="19"/>
    </row>
    <row r="10" spans="1:9" x14ac:dyDescent="0.25">
      <c r="A10" s="262">
        <v>75226</v>
      </c>
      <c r="B10" s="262">
        <v>29400</v>
      </c>
      <c r="C10" s="262"/>
      <c r="D10" s="19"/>
      <c r="E10" s="331"/>
      <c r="F10" s="320"/>
      <c r="G10" s="3"/>
      <c r="H10" s="19"/>
      <c r="I10" s="19"/>
    </row>
    <row r="11" spans="1:9" x14ac:dyDescent="0.25">
      <c r="A11" s="262">
        <v>74690</v>
      </c>
      <c r="B11" s="262">
        <v>5561</v>
      </c>
      <c r="C11" s="262"/>
      <c r="D11" s="19"/>
      <c r="E11" s="332"/>
      <c r="F11" s="55"/>
      <c r="G11" s="3"/>
      <c r="H11" s="19"/>
      <c r="I11" s="19"/>
    </row>
    <row r="12" spans="1:9" x14ac:dyDescent="0.25">
      <c r="A12" s="262">
        <v>75366</v>
      </c>
      <c r="B12" s="264">
        <v>5557</v>
      </c>
      <c r="C12" s="264"/>
      <c r="D12" s="129"/>
      <c r="E12" s="171"/>
      <c r="F12" s="79"/>
      <c r="G12" s="3"/>
      <c r="H12" s="327"/>
      <c r="I12" s="129"/>
    </row>
    <row r="13" spans="1:9" x14ac:dyDescent="0.25">
      <c r="A13" s="342">
        <v>75372</v>
      </c>
      <c r="B13" s="342">
        <v>8000</v>
      </c>
      <c r="C13" s="339"/>
      <c r="D13" s="3"/>
      <c r="E13" s="3"/>
      <c r="F13" s="3"/>
      <c r="G13" s="3"/>
      <c r="H13" s="3"/>
      <c r="I13" s="3"/>
    </row>
    <row r="14" spans="1:9" x14ac:dyDescent="0.25">
      <c r="A14" s="342">
        <v>75379</v>
      </c>
      <c r="B14" s="342">
        <v>8000</v>
      </c>
      <c r="C14" s="339"/>
      <c r="D14" s="3"/>
      <c r="E14" s="3"/>
      <c r="F14" s="3"/>
      <c r="G14" s="3"/>
      <c r="H14" s="3"/>
      <c r="I14" s="3"/>
    </row>
    <row r="15" spans="1:9" x14ac:dyDescent="0.25">
      <c r="A15" s="343">
        <v>75393</v>
      </c>
      <c r="B15" s="343" t="s">
        <v>254</v>
      </c>
      <c r="C15" s="340"/>
      <c r="D15" s="333"/>
      <c r="E15" s="3"/>
      <c r="F15" s="3"/>
      <c r="G15" s="3"/>
      <c r="H15" s="3"/>
      <c r="I15" s="3"/>
    </row>
    <row r="16" spans="1:9" ht="13.5" customHeight="1" x14ac:dyDescent="0.25">
      <c r="A16" s="343">
        <v>75730</v>
      </c>
      <c r="B16" s="343">
        <v>9949</v>
      </c>
      <c r="C16" s="337"/>
      <c r="D16" s="305"/>
      <c r="E16" s="3"/>
      <c r="F16" s="3"/>
      <c r="G16" s="3"/>
      <c r="H16" s="3"/>
      <c r="I16" s="3"/>
    </row>
    <row r="17" spans="1:9" x14ac:dyDescent="0.25">
      <c r="A17" s="343">
        <v>70117</v>
      </c>
      <c r="B17" s="343">
        <v>6000</v>
      </c>
      <c r="C17" s="341"/>
      <c r="D17" s="303"/>
      <c r="E17" s="3"/>
      <c r="F17" s="3"/>
      <c r="G17" s="3"/>
      <c r="H17" s="3"/>
      <c r="I17" s="3"/>
    </row>
    <row r="18" spans="1:9" x14ac:dyDescent="0.25">
      <c r="A18" s="344">
        <v>75550</v>
      </c>
      <c r="B18" s="343" t="s">
        <v>255</v>
      </c>
      <c r="C18" s="341"/>
      <c r="D18" s="303"/>
      <c r="E18" s="3"/>
      <c r="F18" s="3"/>
      <c r="G18" s="3"/>
      <c r="H18" s="3"/>
      <c r="I18" s="3"/>
    </row>
    <row r="19" spans="1:9" x14ac:dyDescent="0.25">
      <c r="A19" s="343">
        <v>75546</v>
      </c>
      <c r="B19" s="343" t="s">
        <v>255</v>
      </c>
      <c r="C19" s="341"/>
      <c r="D19" s="303"/>
      <c r="E19" s="3"/>
      <c r="F19" s="3"/>
      <c r="G19" s="3"/>
      <c r="H19" s="3"/>
      <c r="I19" s="3"/>
    </row>
    <row r="20" spans="1:9" x14ac:dyDescent="0.25">
      <c r="A20" s="343">
        <v>75730</v>
      </c>
      <c r="B20" s="343">
        <v>9949</v>
      </c>
      <c r="C20" s="275"/>
      <c r="D20" s="303"/>
      <c r="E20" s="3"/>
      <c r="F20" s="3"/>
      <c r="G20" s="3"/>
      <c r="H20" s="3"/>
      <c r="I20" s="3"/>
    </row>
    <row r="21" spans="1:9" x14ac:dyDescent="0.25">
      <c r="A21" s="345">
        <v>75390</v>
      </c>
      <c r="B21" s="346" t="s">
        <v>256</v>
      </c>
      <c r="C21" s="275"/>
      <c r="D21" s="303"/>
      <c r="E21" s="3"/>
      <c r="F21" s="3"/>
      <c r="G21" s="3"/>
      <c r="H21" s="3"/>
      <c r="I21" s="3"/>
    </row>
    <row r="22" spans="1:9" x14ac:dyDescent="0.25">
      <c r="A22" s="345"/>
      <c r="B22" s="346"/>
      <c r="C22" s="275"/>
      <c r="D22" s="303"/>
      <c r="E22" s="3"/>
      <c r="F22" s="3"/>
      <c r="G22" s="3"/>
      <c r="H22" s="3"/>
      <c r="I22" s="3"/>
    </row>
    <row r="23" spans="1:9" x14ac:dyDescent="0.25">
      <c r="A23" s="345"/>
      <c r="B23" s="346"/>
      <c r="C23" s="275"/>
      <c r="D23" s="303"/>
      <c r="E23" s="3"/>
      <c r="F23" s="3"/>
      <c r="G23" s="3"/>
      <c r="H23" s="3"/>
      <c r="I23" s="3"/>
    </row>
    <row r="24" spans="1:9" x14ac:dyDescent="0.25">
      <c r="A24" s="345"/>
      <c r="B24" s="346"/>
      <c r="C24" s="275"/>
      <c r="D24" s="303"/>
      <c r="E24" s="3"/>
      <c r="F24" s="3"/>
      <c r="G24" s="3"/>
      <c r="H24" s="3"/>
      <c r="I24" s="3"/>
    </row>
    <row r="25" spans="1:9" x14ac:dyDescent="0.25">
      <c r="A25" s="346"/>
      <c r="B25" s="346"/>
      <c r="C25" s="275"/>
      <c r="D25" s="303"/>
      <c r="E25" s="3"/>
      <c r="F25" s="3"/>
      <c r="G25" s="3"/>
      <c r="H25" s="3"/>
      <c r="I25" s="3"/>
    </row>
    <row r="26" spans="1:9" x14ac:dyDescent="0.25">
      <c r="A26" s="345"/>
      <c r="B26" s="346"/>
      <c r="C26" s="275"/>
      <c r="D26" s="303"/>
      <c r="E26" s="3"/>
      <c r="F26" s="3"/>
      <c r="G26" s="3"/>
      <c r="H26" s="3"/>
      <c r="I26" s="3"/>
    </row>
    <row r="27" spans="1:9" x14ac:dyDescent="0.25">
      <c r="A27" s="274"/>
      <c r="B27" s="274"/>
      <c r="C27" s="275"/>
      <c r="D27" s="303"/>
      <c r="E27" s="3"/>
      <c r="F27" s="3"/>
      <c r="G27" s="3"/>
      <c r="H27" s="3"/>
      <c r="I27" s="3"/>
    </row>
    <row r="28" spans="1:9" x14ac:dyDescent="0.25">
      <c r="A28" s="305"/>
      <c r="B28" s="305"/>
      <c r="C28" s="303"/>
      <c r="D28" s="303"/>
      <c r="E28" s="3"/>
      <c r="F28" s="3"/>
      <c r="G28" s="3"/>
      <c r="H28" s="3"/>
      <c r="I28" s="3"/>
    </row>
    <row r="29" spans="1:9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25">
      <c r="A30" s="3"/>
      <c r="B30" s="3"/>
      <c r="C30" s="3"/>
      <c r="D30" s="3"/>
      <c r="E30" s="3"/>
      <c r="F30" s="3"/>
      <c r="G30" s="3"/>
      <c r="H30" s="3"/>
      <c r="I30" s="3"/>
    </row>
    <row r="31" spans="1:9" ht="23.25" customHeight="1" x14ac:dyDescent="0.25">
      <c r="A31" s="312"/>
      <c r="B31" s="312"/>
      <c r="C31" s="312"/>
      <c r="D31" s="312"/>
      <c r="E31" s="312"/>
      <c r="F31" s="312"/>
      <c r="G31" s="3"/>
      <c r="H31" s="3"/>
      <c r="I31" s="3"/>
    </row>
    <row r="32" spans="1:9" ht="19.5" customHeight="1" x14ac:dyDescent="0.25">
      <c r="A32" s="312"/>
      <c r="B32" s="312"/>
      <c r="C32" s="312"/>
      <c r="D32" s="312"/>
      <c r="E32" s="313"/>
      <c r="F32" s="314"/>
      <c r="G32" s="3"/>
      <c r="H32" s="3"/>
      <c r="I32" s="3"/>
    </row>
    <row r="33" spans="1:9" ht="19.5" customHeight="1" x14ac:dyDescent="0.25">
      <c r="A33" s="312"/>
      <c r="B33" s="312"/>
      <c r="C33" s="327"/>
      <c r="D33" s="327"/>
      <c r="E33" s="313"/>
      <c r="F33" s="314"/>
      <c r="G33" s="3"/>
      <c r="H33" s="3"/>
      <c r="I33" s="3"/>
    </row>
    <row r="34" spans="1:9" x14ac:dyDescent="0.25">
      <c r="A34" s="19"/>
      <c r="B34" s="132"/>
      <c r="C34" s="132"/>
      <c r="D34" s="132"/>
      <c r="E34" s="315"/>
      <c r="F34" s="316"/>
      <c r="G34" s="3"/>
      <c r="H34" s="3"/>
      <c r="I34" s="3"/>
    </row>
    <row r="35" spans="1:9" x14ac:dyDescent="0.25">
      <c r="A35" s="19"/>
      <c r="B35" s="19"/>
      <c r="C35" s="19"/>
      <c r="D35" s="19"/>
      <c r="E35" s="317"/>
      <c r="F35" s="3"/>
    </row>
    <row r="36" spans="1:9" x14ac:dyDescent="0.25">
      <c r="A36" s="19"/>
      <c r="B36" s="132"/>
      <c r="C36" s="132"/>
      <c r="D36" s="132"/>
      <c r="E36" s="318"/>
      <c r="F36" s="3"/>
    </row>
    <row r="37" spans="1:9" x14ac:dyDescent="0.25">
      <c r="A37" s="19"/>
      <c r="B37" s="19"/>
      <c r="C37" s="19"/>
      <c r="D37" s="19"/>
      <c r="E37" s="319"/>
      <c r="F37" s="3"/>
    </row>
    <row r="38" spans="1:9" x14ac:dyDescent="0.25">
      <c r="A38" s="19"/>
      <c r="B38" s="19"/>
      <c r="C38" s="19"/>
      <c r="D38" s="19"/>
      <c r="E38" s="55"/>
      <c r="F38" s="3"/>
    </row>
    <row r="39" spans="1:9" x14ac:dyDescent="0.25">
      <c r="A39" s="19"/>
      <c r="B39" s="19"/>
      <c r="C39" s="19"/>
      <c r="D39" s="19"/>
      <c r="E39" s="320"/>
      <c r="F39" s="3"/>
    </row>
    <row r="40" spans="1:9" x14ac:dyDescent="0.25">
      <c r="A40" s="19"/>
      <c r="B40" s="19"/>
      <c r="C40" s="19"/>
      <c r="D40" s="19"/>
      <c r="E40" s="55"/>
      <c r="F40" s="3"/>
    </row>
    <row r="41" spans="1:9" x14ac:dyDescent="0.25">
      <c r="A41" s="327"/>
      <c r="B41" s="129"/>
      <c r="C41" s="129"/>
      <c r="D41" s="129"/>
      <c r="E41" s="79"/>
      <c r="F41" s="3"/>
    </row>
    <row r="44" spans="1:9" x14ac:dyDescent="0.25">
      <c r="B44" s="3"/>
    </row>
    <row r="45" spans="1:9" x14ac:dyDescent="0.25">
      <c r="B45" s="3"/>
    </row>
    <row r="46" spans="1:9" x14ac:dyDescent="0.25">
      <c r="B46" s="238"/>
    </row>
  </sheetData>
  <mergeCells count="1">
    <mergeCell ref="A1:C1"/>
  </mergeCells>
  <pageMargins left="0.7" right="0.7" top="0.75" bottom="0.75" header="0.3" footer="0.3"/>
  <pageSetup paperSize="9" orientation="portrait" horizontalDpi="300" verticalDpi="300" r:id="rId1"/>
  <rowBreaks count="1" manualBreakCount="1">
    <brk id="30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opLeftCell="A2" zoomScaleNormal="100" workbookViewId="0">
      <selection activeCell="A20" sqref="A20:D20"/>
    </sheetView>
  </sheetViews>
  <sheetFormatPr defaultRowHeight="15" x14ac:dyDescent="0.25"/>
  <cols>
    <col min="1" max="1" width="14.42578125" customWidth="1"/>
    <col min="2" max="3" width="12.140625" customWidth="1"/>
    <col min="4" max="4" width="12.5703125" customWidth="1"/>
    <col min="5" max="5" width="10.7109375" style="260" customWidth="1"/>
    <col min="6" max="6" width="27.42578125" customWidth="1"/>
    <col min="8" max="9" width="14.5703125" customWidth="1"/>
    <col min="11" max="11" width="10.7109375" customWidth="1"/>
  </cols>
  <sheetData>
    <row r="1" spans="1:9" ht="31.5" hidden="1" customHeight="1" x14ac:dyDescent="0.25">
      <c r="A1" s="754" t="s">
        <v>201</v>
      </c>
      <c r="B1" s="754"/>
      <c r="C1" s="754"/>
      <c r="D1" s="754"/>
      <c r="E1" s="754"/>
      <c r="F1" s="754"/>
      <c r="H1" s="745" t="s">
        <v>202</v>
      </c>
      <c r="I1" s="745"/>
    </row>
    <row r="2" spans="1:9" ht="19.5" customHeight="1" x14ac:dyDescent="0.25">
      <c r="A2" s="754" t="s">
        <v>7</v>
      </c>
      <c r="B2" s="754" t="s">
        <v>47</v>
      </c>
      <c r="C2" s="754" t="s">
        <v>199</v>
      </c>
      <c r="D2" s="754"/>
      <c r="E2" s="755" t="s">
        <v>32</v>
      </c>
      <c r="F2" s="754" t="s">
        <v>23</v>
      </c>
      <c r="H2" s="754" t="s">
        <v>7</v>
      </c>
      <c r="I2" s="754" t="s">
        <v>47</v>
      </c>
    </row>
    <row r="3" spans="1:9" ht="19.5" customHeight="1" x14ac:dyDescent="0.25">
      <c r="A3" s="754"/>
      <c r="B3" s="754"/>
      <c r="C3" s="239" t="s">
        <v>5</v>
      </c>
      <c r="D3" s="239" t="s">
        <v>152</v>
      </c>
      <c r="E3" s="756"/>
      <c r="F3" s="754"/>
      <c r="H3" s="754"/>
      <c r="I3" s="754"/>
    </row>
    <row r="4" spans="1:9" x14ac:dyDescent="0.25">
      <c r="A4" s="16" t="s">
        <v>11</v>
      </c>
      <c r="B4" s="25">
        <v>483900</v>
      </c>
      <c r="C4" s="25">
        <v>55615</v>
      </c>
      <c r="D4" s="25">
        <v>309285</v>
      </c>
      <c r="E4" s="221">
        <f>+B25</f>
        <v>133500</v>
      </c>
      <c r="F4" s="235"/>
      <c r="H4" s="262" t="s">
        <v>11</v>
      </c>
      <c r="I4" s="264">
        <v>483900</v>
      </c>
    </row>
    <row r="5" spans="1:9" x14ac:dyDescent="0.25">
      <c r="A5" s="16" t="s">
        <v>17</v>
      </c>
      <c r="B5" s="16">
        <v>200541</v>
      </c>
      <c r="C5" s="247">
        <v>149541</v>
      </c>
      <c r="D5" s="16">
        <v>0</v>
      </c>
      <c r="E5" s="221">
        <v>51000</v>
      </c>
      <c r="F5" s="36"/>
      <c r="H5" s="262" t="s">
        <v>17</v>
      </c>
      <c r="I5" s="262">
        <v>200541</v>
      </c>
    </row>
    <row r="6" spans="1:9" x14ac:dyDescent="0.25">
      <c r="A6" s="16" t="s">
        <v>24</v>
      </c>
      <c r="B6" s="25">
        <v>226143</v>
      </c>
      <c r="C6" s="25">
        <v>137320</v>
      </c>
      <c r="D6" s="25">
        <v>31000</v>
      </c>
      <c r="E6" s="264">
        <v>63221</v>
      </c>
      <c r="F6" s="36"/>
      <c r="H6" s="262" t="s">
        <v>24</v>
      </c>
      <c r="I6" s="264">
        <v>226143</v>
      </c>
    </row>
    <row r="7" spans="1:9" x14ac:dyDescent="0.25">
      <c r="A7" s="16" t="s">
        <v>42</v>
      </c>
      <c r="B7" s="16">
        <v>87880</v>
      </c>
      <c r="C7" s="16">
        <v>87880</v>
      </c>
      <c r="D7" s="16">
        <v>0</v>
      </c>
      <c r="E7" s="221"/>
      <c r="F7" s="37"/>
      <c r="H7" s="262" t="s">
        <v>42</v>
      </c>
      <c r="I7" s="262">
        <v>87880</v>
      </c>
    </row>
    <row r="8" spans="1:9" x14ac:dyDescent="0.25">
      <c r="A8" s="16" t="s">
        <v>29</v>
      </c>
      <c r="B8" s="16">
        <v>32944</v>
      </c>
      <c r="C8" s="16">
        <v>28960</v>
      </c>
      <c r="D8" s="16"/>
      <c r="E8" s="221">
        <v>8312</v>
      </c>
      <c r="F8" s="22"/>
      <c r="H8" s="262" t="s">
        <v>29</v>
      </c>
      <c r="I8" s="262">
        <v>32944</v>
      </c>
    </row>
    <row r="9" spans="1:9" x14ac:dyDescent="0.25">
      <c r="A9" s="16" t="s">
        <v>153</v>
      </c>
      <c r="B9" s="16">
        <v>47785</v>
      </c>
      <c r="C9" s="16">
        <v>47785</v>
      </c>
      <c r="D9" s="16">
        <v>0</v>
      </c>
      <c r="E9" s="236"/>
      <c r="F9" s="60"/>
      <c r="H9" s="262" t="s">
        <v>153</v>
      </c>
      <c r="I9" s="262">
        <v>47785</v>
      </c>
    </row>
    <row r="10" spans="1:9" x14ac:dyDescent="0.25">
      <c r="A10" s="16"/>
      <c r="B10" s="16"/>
      <c r="C10" s="16"/>
      <c r="D10" s="16"/>
      <c r="E10" s="222"/>
      <c r="F10" s="22"/>
      <c r="H10" s="262"/>
      <c r="I10" s="262"/>
    </row>
    <row r="11" spans="1:9" x14ac:dyDescent="0.25">
      <c r="A11" s="239" t="s">
        <v>12</v>
      </c>
      <c r="B11" s="27">
        <f>SUM(B4:B10)</f>
        <v>1079193</v>
      </c>
      <c r="C11" s="27">
        <f>SUM(C4:C10)</f>
        <v>507101</v>
      </c>
      <c r="D11" s="27">
        <f>SUM(D4:D10)</f>
        <v>340285</v>
      </c>
      <c r="E11" s="162">
        <f>SUM(E4:E10)</f>
        <v>256033</v>
      </c>
      <c r="F11" s="107"/>
      <c r="H11" s="277" t="s">
        <v>12</v>
      </c>
      <c r="I11" s="250">
        <f>SUM(I4:I10)</f>
        <v>1079193</v>
      </c>
    </row>
    <row r="14" spans="1:9" x14ac:dyDescent="0.25">
      <c r="A14" s="764" t="s">
        <v>236</v>
      </c>
      <c r="B14" s="764"/>
      <c r="C14" s="764"/>
      <c r="D14" s="764"/>
      <c r="F14" s="764" t="s">
        <v>250</v>
      </c>
      <c r="G14" s="764"/>
      <c r="H14" s="764"/>
      <c r="I14" s="764"/>
    </row>
    <row r="15" spans="1:9" ht="13.5" customHeight="1" x14ac:dyDescent="0.25">
      <c r="A15" s="240" t="s">
        <v>168</v>
      </c>
      <c r="B15" s="240" t="s">
        <v>169</v>
      </c>
      <c r="C15" s="240" t="s">
        <v>172</v>
      </c>
      <c r="D15" s="240" t="s">
        <v>170</v>
      </c>
      <c r="F15" s="310" t="s">
        <v>168</v>
      </c>
      <c r="G15" s="310" t="s">
        <v>169</v>
      </c>
      <c r="H15" s="310" t="s">
        <v>172</v>
      </c>
      <c r="I15" s="310" t="s">
        <v>170</v>
      </c>
    </row>
    <row r="16" spans="1:9" x14ac:dyDescent="0.25">
      <c r="A16" s="237" t="s">
        <v>206</v>
      </c>
      <c r="B16" s="223">
        <v>13000</v>
      </c>
      <c r="C16" s="224">
        <v>42287</v>
      </c>
      <c r="D16" s="223" t="s">
        <v>225</v>
      </c>
      <c r="F16" s="259"/>
      <c r="G16" s="274"/>
      <c r="H16" s="275"/>
      <c r="I16" s="274"/>
    </row>
    <row r="17" spans="1:11" x14ac:dyDescent="0.25">
      <c r="A17" s="237" t="s">
        <v>207</v>
      </c>
      <c r="B17" s="223">
        <v>7000</v>
      </c>
      <c r="C17" s="224">
        <v>42287</v>
      </c>
      <c r="D17" s="274" t="s">
        <v>245</v>
      </c>
      <c r="F17" s="276" t="s">
        <v>249</v>
      </c>
      <c r="G17" s="274">
        <v>3992</v>
      </c>
      <c r="H17" s="275">
        <v>42298</v>
      </c>
      <c r="I17" s="274"/>
    </row>
    <row r="18" spans="1:11" x14ac:dyDescent="0.25">
      <c r="A18" s="274" t="s">
        <v>208</v>
      </c>
      <c r="B18" s="274">
        <v>32500</v>
      </c>
      <c r="C18" s="275">
        <v>42290</v>
      </c>
      <c r="D18" s="274" t="s">
        <v>152</v>
      </c>
      <c r="F18" s="274" t="s">
        <v>12</v>
      </c>
      <c r="G18" s="274"/>
      <c r="H18" s="275"/>
      <c r="I18" s="274"/>
    </row>
    <row r="19" spans="1:11" x14ac:dyDescent="0.25">
      <c r="A19" s="274" t="s">
        <v>247</v>
      </c>
      <c r="B19" s="274">
        <v>17000</v>
      </c>
      <c r="C19" s="275">
        <v>42302</v>
      </c>
      <c r="D19" s="274"/>
      <c r="F19" s="322"/>
      <c r="G19" s="303"/>
      <c r="H19" s="304"/>
      <c r="I19" s="303"/>
    </row>
    <row r="20" spans="1:11" s="260" customFormat="1" x14ac:dyDescent="0.25">
      <c r="A20" s="274" t="s">
        <v>248</v>
      </c>
      <c r="B20" s="274">
        <v>7000</v>
      </c>
      <c r="C20" s="275">
        <v>42299</v>
      </c>
      <c r="D20" s="274" t="s">
        <v>259</v>
      </c>
      <c r="F20" s="323"/>
      <c r="G20" s="322"/>
      <c r="H20" s="324"/>
      <c r="I20" s="303"/>
    </row>
    <row r="21" spans="1:11" x14ac:dyDescent="0.25">
      <c r="A21" s="274" t="s">
        <v>247</v>
      </c>
      <c r="B21" s="274">
        <v>13000</v>
      </c>
      <c r="C21" s="275"/>
      <c r="D21" s="274"/>
      <c r="F21" s="322"/>
      <c r="G21" s="322"/>
      <c r="H21" s="324"/>
      <c r="I21" s="303"/>
    </row>
    <row r="22" spans="1:11" x14ac:dyDescent="0.25">
      <c r="A22" s="274" t="s">
        <v>208</v>
      </c>
      <c r="B22" s="274">
        <v>10000</v>
      </c>
      <c r="C22" s="275">
        <v>42303</v>
      </c>
      <c r="D22" s="274" t="s">
        <v>225</v>
      </c>
      <c r="F22" s="322"/>
      <c r="G22" s="322"/>
      <c r="H22" s="325"/>
      <c r="I22" s="303"/>
    </row>
    <row r="23" spans="1:11" x14ac:dyDescent="0.25">
      <c r="A23" s="274" t="s">
        <v>26</v>
      </c>
      <c r="B23" s="274">
        <v>18500</v>
      </c>
      <c r="C23" s="275">
        <v>42308</v>
      </c>
      <c r="D23" s="274"/>
      <c r="F23" s="303"/>
      <c r="G23" s="303"/>
      <c r="H23" s="304"/>
      <c r="I23" s="303"/>
    </row>
    <row r="24" spans="1:11" x14ac:dyDescent="0.25">
      <c r="A24" s="274" t="s">
        <v>176</v>
      </c>
      <c r="B24" s="274">
        <v>15500</v>
      </c>
      <c r="C24" s="275">
        <v>42318</v>
      </c>
      <c r="D24" s="274" t="s">
        <v>235</v>
      </c>
      <c r="F24" s="303"/>
      <c r="G24" s="303"/>
      <c r="H24" s="304"/>
      <c r="I24" s="303"/>
    </row>
    <row r="25" spans="1:11" x14ac:dyDescent="0.25">
      <c r="A25" s="240" t="s">
        <v>171</v>
      </c>
      <c r="B25" s="240">
        <f>SUM(B16:B24)</f>
        <v>133500</v>
      </c>
      <c r="C25" s="223"/>
      <c r="D25" s="223"/>
      <c r="F25" s="305"/>
      <c r="G25" s="305"/>
      <c r="H25" s="303"/>
      <c r="I25" s="303"/>
    </row>
    <row r="28" spans="1:11" ht="23.25" customHeight="1" x14ac:dyDescent="0.25">
      <c r="A28" s="764" t="s">
        <v>237</v>
      </c>
      <c r="B28" s="764"/>
      <c r="C28" s="764"/>
      <c r="D28" s="764"/>
      <c r="E28" s="312"/>
      <c r="F28" s="307" t="s">
        <v>201</v>
      </c>
      <c r="G28" s="307"/>
      <c r="H28" s="307"/>
      <c r="I28" s="307"/>
      <c r="J28" s="307"/>
      <c r="K28" s="307"/>
    </row>
    <row r="29" spans="1:11" ht="19.5" customHeight="1" x14ac:dyDescent="0.25">
      <c r="A29" s="310" t="s">
        <v>168</v>
      </c>
      <c r="B29" s="310" t="s">
        <v>169</v>
      </c>
      <c r="C29" s="310" t="s">
        <v>172</v>
      </c>
      <c r="D29" s="310" t="s">
        <v>170</v>
      </c>
      <c r="E29" s="313"/>
      <c r="F29" s="307" t="s">
        <v>7</v>
      </c>
      <c r="G29" s="307" t="s">
        <v>47</v>
      </c>
      <c r="H29" s="307" t="s">
        <v>199</v>
      </c>
      <c r="I29" s="307"/>
      <c r="J29" s="308" t="s">
        <v>212</v>
      </c>
      <c r="K29" s="311" t="s">
        <v>23</v>
      </c>
    </row>
    <row r="30" spans="1:11" ht="19.5" customHeight="1" x14ac:dyDescent="0.25">
      <c r="A30" s="276">
        <v>70610</v>
      </c>
      <c r="B30" s="274">
        <v>2000</v>
      </c>
      <c r="C30" s="275">
        <v>42279</v>
      </c>
      <c r="D30" s="274" t="s">
        <v>101</v>
      </c>
      <c r="E30" s="313"/>
      <c r="F30" s="307"/>
      <c r="G30" s="307"/>
      <c r="H30" s="307" t="s">
        <v>5</v>
      </c>
      <c r="I30" s="307" t="s">
        <v>152</v>
      </c>
      <c r="J30" s="309"/>
      <c r="K30" s="311"/>
    </row>
    <row r="31" spans="1:11" x14ac:dyDescent="0.25">
      <c r="A31" s="276">
        <v>70610</v>
      </c>
      <c r="B31" s="274">
        <v>4000</v>
      </c>
      <c r="C31" s="275">
        <v>42289</v>
      </c>
      <c r="D31" s="274" t="s">
        <v>101</v>
      </c>
      <c r="E31" s="315"/>
      <c r="F31" s="262" t="s">
        <v>11</v>
      </c>
      <c r="G31" s="264">
        <v>483900</v>
      </c>
      <c r="H31" s="264">
        <v>89615</v>
      </c>
      <c r="I31" s="264">
        <v>314285</v>
      </c>
      <c r="J31" s="254"/>
      <c r="K31" s="255"/>
    </row>
    <row r="32" spans="1:11" x14ac:dyDescent="0.25">
      <c r="A32" s="274">
        <v>75455</v>
      </c>
      <c r="B32" s="274">
        <v>12360</v>
      </c>
      <c r="C32" s="275">
        <v>42292</v>
      </c>
      <c r="D32" s="274" t="s">
        <v>101</v>
      </c>
      <c r="E32" s="317"/>
      <c r="F32" s="262" t="s">
        <v>17</v>
      </c>
      <c r="G32" s="262">
        <v>200541</v>
      </c>
      <c r="H32" s="262">
        <v>149541</v>
      </c>
      <c r="I32" s="262">
        <v>0</v>
      </c>
      <c r="J32" s="244"/>
      <c r="K32" s="279"/>
    </row>
    <row r="33" spans="1:11" x14ac:dyDescent="0.25">
      <c r="A33" s="276">
        <v>70117</v>
      </c>
      <c r="B33" s="274">
        <v>1500</v>
      </c>
      <c r="C33" s="275">
        <v>42293</v>
      </c>
      <c r="D33" s="274" t="s">
        <v>98</v>
      </c>
      <c r="E33" s="318"/>
      <c r="F33" s="262" t="s">
        <v>24</v>
      </c>
      <c r="G33" s="264">
        <v>226143</v>
      </c>
      <c r="H33" s="264">
        <v>137320</v>
      </c>
      <c r="I33" s="264">
        <v>31000</v>
      </c>
      <c r="J33" s="256"/>
      <c r="K33" s="279"/>
    </row>
    <row r="34" spans="1:11" x14ac:dyDescent="0.25">
      <c r="A34" s="259">
        <v>75368</v>
      </c>
      <c r="B34" s="276">
        <v>9000</v>
      </c>
      <c r="C34" s="242">
        <v>42297</v>
      </c>
      <c r="D34" s="274" t="s">
        <v>98</v>
      </c>
      <c r="E34" s="319"/>
      <c r="F34" s="262" t="s">
        <v>42</v>
      </c>
      <c r="G34" s="262">
        <v>87880</v>
      </c>
      <c r="H34" s="262">
        <v>87880</v>
      </c>
      <c r="I34" s="262">
        <v>0</v>
      </c>
      <c r="J34" s="257"/>
      <c r="K34" s="279"/>
    </row>
    <row r="35" spans="1:11" x14ac:dyDescent="0.25">
      <c r="A35" s="276">
        <v>75049</v>
      </c>
      <c r="B35" s="276">
        <v>9800</v>
      </c>
      <c r="C35" s="242">
        <v>42298</v>
      </c>
      <c r="D35" s="274"/>
      <c r="E35" s="55"/>
      <c r="F35" s="262" t="s">
        <v>29</v>
      </c>
      <c r="G35" s="262">
        <v>32944</v>
      </c>
      <c r="H35" s="262">
        <v>24632</v>
      </c>
      <c r="I35" s="262"/>
      <c r="J35" s="248"/>
      <c r="K35" s="279"/>
    </row>
    <row r="36" spans="1:11" x14ac:dyDescent="0.25">
      <c r="A36" s="276">
        <v>75367</v>
      </c>
      <c r="B36" s="276">
        <v>7505</v>
      </c>
      <c r="C36" s="243">
        <v>42297</v>
      </c>
      <c r="D36" s="274" t="s">
        <v>98</v>
      </c>
      <c r="E36" s="320"/>
      <c r="F36" s="262" t="s">
        <v>153</v>
      </c>
      <c r="G36" s="262">
        <v>47785</v>
      </c>
      <c r="H36" s="262">
        <v>47785</v>
      </c>
      <c r="I36" s="262">
        <v>0</v>
      </c>
      <c r="J36" s="251"/>
      <c r="K36" s="279"/>
    </row>
    <row r="37" spans="1:11" x14ac:dyDescent="0.25">
      <c r="A37" s="274"/>
      <c r="B37" s="274"/>
      <c r="C37" s="275"/>
      <c r="D37" s="274"/>
      <c r="E37" s="55"/>
      <c r="F37" s="262"/>
      <c r="G37" s="262"/>
      <c r="H37" s="262"/>
      <c r="I37" s="262"/>
      <c r="J37" s="248"/>
      <c r="K37" s="279"/>
    </row>
    <row r="38" spans="1:11" x14ac:dyDescent="0.25">
      <c r="A38" s="274" t="s">
        <v>12</v>
      </c>
      <c r="B38" s="321">
        <f>SUM(B30:B37)</f>
        <v>46165</v>
      </c>
      <c r="C38" s="275"/>
      <c r="D38" s="274"/>
      <c r="E38" s="79"/>
      <c r="F38" s="307" t="s">
        <v>12</v>
      </c>
      <c r="G38" s="250">
        <f>SUM(G31:G37)</f>
        <v>1079193</v>
      </c>
      <c r="H38" s="250">
        <f>SUM(H31:H37)</f>
        <v>536773</v>
      </c>
      <c r="I38" s="250">
        <f>SUM(I31:I37)</f>
        <v>345285</v>
      </c>
      <c r="J38" s="253"/>
      <c r="K38" s="279"/>
    </row>
    <row r="39" spans="1:11" x14ac:dyDescent="0.25">
      <c r="A39" s="310"/>
      <c r="B39" s="310"/>
      <c r="C39" s="274"/>
      <c r="D39" s="274"/>
      <c r="E39" s="3"/>
      <c r="F39" s="260"/>
      <c r="G39" s="260"/>
      <c r="H39" s="260"/>
      <c r="I39" s="260"/>
      <c r="J39" s="260"/>
      <c r="K39" s="260"/>
    </row>
    <row r="41" spans="1:11" x14ac:dyDescent="0.25">
      <c r="A41" s="764" t="s">
        <v>251</v>
      </c>
      <c r="B41" s="764"/>
      <c r="C41" s="764"/>
      <c r="D41" s="764"/>
    </row>
    <row r="42" spans="1:11" x14ac:dyDescent="0.25">
      <c r="A42" s="310" t="s">
        <v>168</v>
      </c>
      <c r="B42" s="310" t="s">
        <v>169</v>
      </c>
      <c r="C42" s="310" t="s">
        <v>172</v>
      </c>
      <c r="D42" s="310" t="s">
        <v>170</v>
      </c>
    </row>
    <row r="43" spans="1:11" x14ac:dyDescent="0.25">
      <c r="A43" s="276">
        <v>7345849</v>
      </c>
      <c r="B43" s="274">
        <v>8209</v>
      </c>
      <c r="C43" s="275">
        <v>42289</v>
      </c>
      <c r="D43" s="274"/>
    </row>
    <row r="44" spans="1:11" x14ac:dyDescent="0.25">
      <c r="A44" s="276">
        <v>7351100</v>
      </c>
      <c r="B44" s="274">
        <v>6893</v>
      </c>
      <c r="C44" s="275">
        <v>42289</v>
      </c>
      <c r="D44" s="274"/>
    </row>
    <row r="45" spans="1:11" x14ac:dyDescent="0.25">
      <c r="A45" s="274">
        <v>7348360</v>
      </c>
      <c r="B45" s="274">
        <v>11795</v>
      </c>
      <c r="C45" s="275">
        <v>42289</v>
      </c>
      <c r="D45" s="274"/>
    </row>
    <row r="46" spans="1:11" x14ac:dyDescent="0.25">
      <c r="A46" s="276">
        <v>7345419</v>
      </c>
      <c r="B46" s="274">
        <v>4990</v>
      </c>
      <c r="C46" s="275">
        <v>42289</v>
      </c>
      <c r="D46" s="274"/>
    </row>
    <row r="47" spans="1:11" x14ac:dyDescent="0.25">
      <c r="A47" s="259" t="s">
        <v>252</v>
      </c>
      <c r="B47" s="276">
        <v>3498</v>
      </c>
      <c r="C47" s="275">
        <v>42289</v>
      </c>
      <c r="D47" s="274"/>
    </row>
    <row r="48" spans="1:11" x14ac:dyDescent="0.25">
      <c r="A48" s="276">
        <v>7350720</v>
      </c>
      <c r="B48" s="276">
        <v>5899</v>
      </c>
      <c r="C48" s="242">
        <v>42296</v>
      </c>
      <c r="D48" s="274"/>
    </row>
    <row r="49" spans="1:4" x14ac:dyDescent="0.25">
      <c r="A49" s="276">
        <v>6969271</v>
      </c>
      <c r="B49" s="276">
        <v>4983</v>
      </c>
      <c r="C49" s="242">
        <v>42304</v>
      </c>
      <c r="D49" s="274"/>
    </row>
    <row r="50" spans="1:4" s="260" customFormat="1" x14ac:dyDescent="0.25">
      <c r="A50" s="276">
        <v>7352837</v>
      </c>
      <c r="B50" s="276">
        <v>8900</v>
      </c>
      <c r="C50" s="242">
        <v>42304</v>
      </c>
      <c r="D50" s="274"/>
    </row>
    <row r="51" spans="1:4" s="260" customFormat="1" x14ac:dyDescent="0.25">
      <c r="A51" s="276">
        <v>7284146</v>
      </c>
      <c r="B51" s="276">
        <v>8000</v>
      </c>
      <c r="C51" s="242">
        <v>42304</v>
      </c>
      <c r="D51" s="274" t="s">
        <v>98</v>
      </c>
    </row>
    <row r="52" spans="1:4" x14ac:dyDescent="0.25">
      <c r="A52" s="274"/>
      <c r="B52" s="274"/>
      <c r="C52" s="275"/>
      <c r="D52" s="274"/>
    </row>
    <row r="53" spans="1:4" x14ac:dyDescent="0.25">
      <c r="A53" s="274" t="s">
        <v>12</v>
      </c>
      <c r="B53" s="321">
        <f>SUM(B43:B52)</f>
        <v>63167</v>
      </c>
      <c r="C53" s="275"/>
      <c r="D53" s="274"/>
    </row>
    <row r="54" spans="1:4" x14ac:dyDescent="0.25">
      <c r="A54" s="310"/>
      <c r="B54" s="310"/>
      <c r="C54" s="274"/>
      <c r="D54" s="274"/>
    </row>
  </sheetData>
  <mergeCells count="13">
    <mergeCell ref="A41:D41"/>
    <mergeCell ref="F14:I14"/>
    <mergeCell ref="A14:D14"/>
    <mergeCell ref="A28:D28"/>
    <mergeCell ref="A1:F1"/>
    <mergeCell ref="H1:I1"/>
    <mergeCell ref="A2:A3"/>
    <mergeCell ref="B2:B3"/>
    <mergeCell ref="C2:D2"/>
    <mergeCell ref="E2:E3"/>
    <mergeCell ref="F2:F3"/>
    <mergeCell ref="H2:H3"/>
    <mergeCell ref="I2:I3"/>
  </mergeCells>
  <pageMargins left="0.7" right="0.7" top="0.75" bottom="0.75" header="0.3" footer="0.3"/>
  <pageSetup paperSize="9" scale="80" orientation="landscape" horizontalDpi="300" verticalDpi="300" r:id="rId1"/>
  <rowBreaks count="1" manualBreakCount="1">
    <brk id="27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8"/>
  <sheetViews>
    <sheetView topLeftCell="A8" zoomScaleNormal="100" workbookViewId="0">
      <selection activeCell="E15" sqref="E15"/>
    </sheetView>
  </sheetViews>
  <sheetFormatPr defaultRowHeight="15" x14ac:dyDescent="0.25"/>
  <cols>
    <col min="1" max="1" width="14.42578125" customWidth="1"/>
    <col min="2" max="4" width="12.140625" customWidth="1"/>
    <col min="5" max="5" width="10.7109375" customWidth="1"/>
    <col min="6" max="6" width="27.42578125" customWidth="1"/>
    <col min="8" max="9" width="14.5703125" customWidth="1"/>
    <col min="10" max="10" width="9.140625" customWidth="1"/>
    <col min="13" max="13" width="9.140625" customWidth="1"/>
  </cols>
  <sheetData>
    <row r="1" spans="1:9" ht="31.5" customHeight="1" x14ac:dyDescent="0.25">
      <c r="A1" s="754" t="s">
        <v>197</v>
      </c>
      <c r="B1" s="754"/>
      <c r="C1" s="754"/>
      <c r="D1" s="754"/>
      <c r="E1" s="754"/>
      <c r="F1" s="754"/>
      <c r="H1" s="745" t="s">
        <v>200</v>
      </c>
      <c r="I1" s="745"/>
    </row>
    <row r="2" spans="1:9" ht="19.5" customHeight="1" x14ac:dyDescent="0.25">
      <c r="A2" s="754" t="s">
        <v>7</v>
      </c>
      <c r="B2" s="754" t="s">
        <v>47</v>
      </c>
      <c r="C2" s="754" t="s">
        <v>199</v>
      </c>
      <c r="D2" s="754"/>
      <c r="E2" s="755" t="s">
        <v>32</v>
      </c>
      <c r="F2" s="754" t="s">
        <v>23</v>
      </c>
      <c r="H2" s="754" t="s">
        <v>7</v>
      </c>
      <c r="I2" s="754" t="s">
        <v>47</v>
      </c>
    </row>
    <row r="3" spans="1:9" ht="19.5" customHeight="1" x14ac:dyDescent="0.25">
      <c r="A3" s="754"/>
      <c r="B3" s="754"/>
      <c r="C3" s="226" t="s">
        <v>5</v>
      </c>
      <c r="D3" s="226" t="s">
        <v>152</v>
      </c>
      <c r="E3" s="756"/>
      <c r="F3" s="754"/>
      <c r="H3" s="754"/>
      <c r="I3" s="754"/>
    </row>
    <row r="4" spans="1:9" x14ac:dyDescent="0.25">
      <c r="A4" s="16" t="s">
        <v>11</v>
      </c>
      <c r="B4" s="25">
        <v>899592</v>
      </c>
      <c r="C4" s="25">
        <v>184003</v>
      </c>
      <c r="D4" s="25">
        <v>264889</v>
      </c>
      <c r="E4" s="221">
        <f>+B30</f>
        <v>215600</v>
      </c>
      <c r="F4" s="755" t="s">
        <v>213</v>
      </c>
      <c r="H4" s="16" t="s">
        <v>11</v>
      </c>
      <c r="I4" s="25">
        <v>899592</v>
      </c>
    </row>
    <row r="5" spans="1:9" x14ac:dyDescent="0.25">
      <c r="A5" s="16" t="s">
        <v>17</v>
      </c>
      <c r="B5" s="16">
        <v>87291</v>
      </c>
      <c r="C5" s="16">
        <f>+B5</f>
        <v>87291</v>
      </c>
      <c r="D5" s="16">
        <v>0</v>
      </c>
      <c r="E5" s="221"/>
      <c r="F5" s="756"/>
      <c r="H5" s="16" t="s">
        <v>17</v>
      </c>
      <c r="I5" s="16">
        <v>87291</v>
      </c>
    </row>
    <row r="6" spans="1:9" x14ac:dyDescent="0.25">
      <c r="A6" s="16" t="s">
        <v>24</v>
      </c>
      <c r="B6" s="16">
        <v>168864</v>
      </c>
      <c r="C6" s="25">
        <f>+B6</f>
        <v>168864</v>
      </c>
      <c r="D6" s="25">
        <v>0</v>
      </c>
      <c r="E6" s="221"/>
      <c r="F6" s="36"/>
      <c r="H6" s="16" t="s">
        <v>24</v>
      </c>
      <c r="I6" s="16">
        <v>168864</v>
      </c>
    </row>
    <row r="7" spans="1:9" x14ac:dyDescent="0.25">
      <c r="A7" s="16" t="s">
        <v>42</v>
      </c>
      <c r="B7" s="16">
        <v>99648</v>
      </c>
      <c r="C7" s="16">
        <f>+B7</f>
        <v>99648</v>
      </c>
      <c r="D7" s="16">
        <v>0</v>
      </c>
      <c r="E7" s="221"/>
      <c r="F7" s="37"/>
      <c r="H7" s="16" t="s">
        <v>42</v>
      </c>
      <c r="I7" s="16">
        <v>99648</v>
      </c>
    </row>
    <row r="8" spans="1:9" x14ac:dyDescent="0.25">
      <c r="A8" s="16" t="s">
        <v>29</v>
      </c>
      <c r="B8" s="16">
        <v>0</v>
      </c>
      <c r="C8" s="16">
        <f>+B8</f>
        <v>0</v>
      </c>
      <c r="D8" s="16">
        <v>0</v>
      </c>
      <c r="E8" s="221"/>
      <c r="F8" s="22"/>
      <c r="H8" s="16" t="s">
        <v>29</v>
      </c>
      <c r="I8" s="16">
        <v>0</v>
      </c>
    </row>
    <row r="9" spans="1:9" x14ac:dyDescent="0.25">
      <c r="A9" s="16" t="s">
        <v>153</v>
      </c>
      <c r="B9" s="16">
        <v>9501</v>
      </c>
      <c r="C9" s="16">
        <f>+B9</f>
        <v>9501</v>
      </c>
      <c r="D9" s="16">
        <v>0</v>
      </c>
      <c r="E9" s="236"/>
      <c r="F9" s="60"/>
      <c r="H9" s="16" t="s">
        <v>153</v>
      </c>
      <c r="I9" s="16">
        <v>9501</v>
      </c>
    </row>
    <row r="10" spans="1:9" x14ac:dyDescent="0.25">
      <c r="A10" s="16"/>
      <c r="B10" s="25"/>
      <c r="C10" s="16"/>
      <c r="D10" s="16"/>
      <c r="E10" s="222"/>
      <c r="F10" s="22"/>
      <c r="H10" s="16"/>
      <c r="I10" s="25"/>
    </row>
    <row r="11" spans="1:9" x14ac:dyDescent="0.25">
      <c r="A11" s="226" t="s">
        <v>12</v>
      </c>
      <c r="B11" s="27">
        <f>SUM(B4:B10)</f>
        <v>1264896</v>
      </c>
      <c r="C11" s="27">
        <f>SUM(C4:C10)</f>
        <v>549307</v>
      </c>
      <c r="D11" s="27">
        <f>SUM(D4:D10)</f>
        <v>264889</v>
      </c>
      <c r="E11" s="162">
        <f>SUM(E4:E10)</f>
        <v>215600</v>
      </c>
      <c r="F11" s="107"/>
      <c r="H11" s="226" t="s">
        <v>12</v>
      </c>
      <c r="I11" s="27">
        <f>SUM(I4:I10)</f>
        <v>1264896</v>
      </c>
    </row>
    <row r="14" spans="1:9" x14ac:dyDescent="0.25">
      <c r="A14" s="761" t="s">
        <v>198</v>
      </c>
      <c r="B14" s="762"/>
      <c r="C14" s="762"/>
      <c r="D14" s="763"/>
      <c r="E14" s="265"/>
    </row>
    <row r="15" spans="1:9" ht="16.5" customHeight="1" x14ac:dyDescent="0.25">
      <c r="A15" s="225" t="s">
        <v>168</v>
      </c>
      <c r="B15" s="225" t="s">
        <v>169</v>
      </c>
      <c r="C15" s="225" t="s">
        <v>172</v>
      </c>
      <c r="D15" s="225" t="s">
        <v>170</v>
      </c>
      <c r="E15" s="265" t="s">
        <v>228</v>
      </c>
    </row>
    <row r="16" spans="1:9" ht="16.5" customHeight="1" x14ac:dyDescent="0.25">
      <c r="A16" s="237" t="s">
        <v>26</v>
      </c>
      <c r="B16" s="237">
        <v>3000</v>
      </c>
      <c r="C16" s="242">
        <v>42276</v>
      </c>
      <c r="D16" s="274" t="s">
        <v>215</v>
      </c>
      <c r="E16" s="265"/>
    </row>
    <row r="17" spans="1:5" x14ac:dyDescent="0.25">
      <c r="A17" s="259" t="s">
        <v>210</v>
      </c>
      <c r="B17" s="237">
        <v>14000</v>
      </c>
      <c r="C17" s="242">
        <v>42277</v>
      </c>
      <c r="D17" s="237" t="s">
        <v>211</v>
      </c>
      <c r="E17" s="265" t="s">
        <v>152</v>
      </c>
    </row>
    <row r="18" spans="1:5" x14ac:dyDescent="0.25">
      <c r="A18" s="237" t="s">
        <v>26</v>
      </c>
      <c r="B18" s="237">
        <v>26000</v>
      </c>
      <c r="C18" s="242">
        <v>42277</v>
      </c>
      <c r="D18" s="223"/>
      <c r="E18" s="265" t="s">
        <v>229</v>
      </c>
    </row>
    <row r="19" spans="1:5" x14ac:dyDescent="0.25">
      <c r="A19" s="276" t="s">
        <v>209</v>
      </c>
      <c r="B19" s="276">
        <v>14000</v>
      </c>
      <c r="C19" s="243">
        <v>42287</v>
      </c>
      <c r="D19" s="223" t="s">
        <v>215</v>
      </c>
      <c r="E19" s="265"/>
    </row>
    <row r="20" spans="1:5" x14ac:dyDescent="0.25">
      <c r="A20" s="237" t="s">
        <v>167</v>
      </c>
      <c r="B20" s="237">
        <v>11700</v>
      </c>
      <c r="C20" s="243">
        <v>42282</v>
      </c>
      <c r="D20" s="274" t="s">
        <v>215</v>
      </c>
      <c r="E20" s="265"/>
    </row>
    <row r="21" spans="1:5" x14ac:dyDescent="0.25">
      <c r="A21" s="237" t="s">
        <v>214</v>
      </c>
      <c r="B21" s="223">
        <v>8500</v>
      </c>
      <c r="C21" s="224">
        <v>42277</v>
      </c>
      <c r="D21" s="223" t="s">
        <v>215</v>
      </c>
      <c r="E21" s="265"/>
    </row>
    <row r="22" spans="1:5" x14ac:dyDescent="0.25">
      <c r="A22" s="237" t="s">
        <v>166</v>
      </c>
      <c r="B22" s="237">
        <v>28200</v>
      </c>
      <c r="C22" s="243">
        <v>42282</v>
      </c>
      <c r="D22" s="223" t="s">
        <v>227</v>
      </c>
      <c r="E22" s="265" t="s">
        <v>229</v>
      </c>
    </row>
    <row r="23" spans="1:5" s="260" customFormat="1" x14ac:dyDescent="0.25">
      <c r="A23" s="276" t="s">
        <v>220</v>
      </c>
      <c r="B23" s="276">
        <v>13000</v>
      </c>
      <c r="C23" s="243">
        <v>42282</v>
      </c>
      <c r="D23" s="276" t="s">
        <v>224</v>
      </c>
      <c r="E23" s="263" t="s">
        <v>152</v>
      </c>
    </row>
    <row r="24" spans="1:5" x14ac:dyDescent="0.25">
      <c r="A24" s="276" t="s">
        <v>173</v>
      </c>
      <c r="B24" s="276">
        <v>13000</v>
      </c>
      <c r="C24" s="243">
        <v>42287</v>
      </c>
      <c r="D24" s="276"/>
      <c r="E24" s="263" t="s">
        <v>152</v>
      </c>
    </row>
    <row r="25" spans="1:5" x14ac:dyDescent="0.25">
      <c r="A25" s="276" t="s">
        <v>174</v>
      </c>
      <c r="B25" s="276">
        <v>13700</v>
      </c>
      <c r="C25" s="243">
        <v>42287</v>
      </c>
      <c r="D25" s="276" t="s">
        <v>215</v>
      </c>
      <c r="E25" s="263"/>
    </row>
    <row r="26" spans="1:5" x14ac:dyDescent="0.25">
      <c r="A26" s="237" t="s">
        <v>175</v>
      </c>
      <c r="B26" s="237">
        <v>17500</v>
      </c>
      <c r="C26" s="242">
        <v>42282</v>
      </c>
      <c r="D26" s="223"/>
      <c r="E26" s="265" t="s">
        <v>229</v>
      </c>
    </row>
    <row r="27" spans="1:5" x14ac:dyDescent="0.25">
      <c r="A27" s="237" t="s">
        <v>176</v>
      </c>
      <c r="B27" s="237">
        <v>31500</v>
      </c>
      <c r="C27" s="242">
        <v>42282</v>
      </c>
      <c r="D27" s="274" t="s">
        <v>222</v>
      </c>
      <c r="E27" s="265" t="s">
        <v>152</v>
      </c>
    </row>
    <row r="28" spans="1:5" s="260" customFormat="1" x14ac:dyDescent="0.25">
      <c r="A28" s="276" t="s">
        <v>221</v>
      </c>
      <c r="B28" s="276">
        <v>10000</v>
      </c>
      <c r="C28" s="242">
        <v>42282</v>
      </c>
      <c r="D28" s="274" t="s">
        <v>226</v>
      </c>
      <c r="E28" s="265" t="s">
        <v>152</v>
      </c>
    </row>
    <row r="29" spans="1:5" x14ac:dyDescent="0.25">
      <c r="A29" s="237" t="s">
        <v>177</v>
      </c>
      <c r="B29" s="237">
        <v>11500</v>
      </c>
      <c r="C29" s="242">
        <v>42282</v>
      </c>
      <c r="D29" s="274" t="s">
        <v>215</v>
      </c>
      <c r="E29" s="265" t="s">
        <v>229</v>
      </c>
    </row>
    <row r="30" spans="1:5" x14ac:dyDescent="0.25">
      <c r="A30" s="225" t="s">
        <v>171</v>
      </c>
      <c r="B30" s="225">
        <f>SUM(B16:B29)</f>
        <v>215600</v>
      </c>
      <c r="C30" s="223"/>
      <c r="D30" s="223"/>
    </row>
    <row r="33" spans="1:7" ht="23.25" customHeight="1" x14ac:dyDescent="0.25">
      <c r="A33" s="754" t="s">
        <v>216</v>
      </c>
      <c r="B33" s="754"/>
      <c r="C33" s="754"/>
      <c r="D33" s="754"/>
      <c r="E33" s="754"/>
      <c r="F33" s="754"/>
      <c r="G33" s="3"/>
    </row>
    <row r="34" spans="1:7" ht="19.5" customHeight="1" x14ac:dyDescent="0.25">
      <c r="A34" s="754" t="s">
        <v>7</v>
      </c>
      <c r="B34" s="754" t="s">
        <v>47</v>
      </c>
      <c r="C34" s="754" t="s">
        <v>199</v>
      </c>
      <c r="D34" s="754"/>
      <c r="E34" s="755" t="s">
        <v>217</v>
      </c>
      <c r="F34" s="811" t="s">
        <v>23</v>
      </c>
      <c r="G34" s="3"/>
    </row>
    <row r="35" spans="1:7" ht="19.5" customHeight="1" x14ac:dyDescent="0.25">
      <c r="A35" s="754"/>
      <c r="B35" s="754"/>
      <c r="C35" s="246" t="s">
        <v>5</v>
      </c>
      <c r="D35" s="246" t="s">
        <v>152</v>
      </c>
      <c r="E35" s="756"/>
      <c r="F35" s="811"/>
      <c r="G35" s="3"/>
    </row>
    <row r="36" spans="1:7" x14ac:dyDescent="0.25">
      <c r="A36" s="247" t="s">
        <v>11</v>
      </c>
      <c r="B36" s="249">
        <f>+C36+D36</f>
        <v>286264</v>
      </c>
      <c r="C36" s="249">
        <v>49500</v>
      </c>
      <c r="D36" s="249">
        <v>236764</v>
      </c>
      <c r="E36" s="254">
        <f>207800+39000+14000</f>
        <v>260800</v>
      </c>
      <c r="F36" s="255" t="s">
        <v>218</v>
      </c>
      <c r="G36" s="3"/>
    </row>
    <row r="37" spans="1:7" x14ac:dyDescent="0.25">
      <c r="A37" s="247" t="s">
        <v>17</v>
      </c>
      <c r="B37" s="247">
        <v>37968</v>
      </c>
      <c r="C37" s="247">
        <f>+B37</f>
        <v>37968</v>
      </c>
      <c r="D37" s="247">
        <v>0</v>
      </c>
      <c r="E37" s="258">
        <v>21432</v>
      </c>
      <c r="F37" s="252"/>
      <c r="G37" s="3"/>
    </row>
    <row r="38" spans="1:7" x14ac:dyDescent="0.25">
      <c r="A38" s="247" t="s">
        <v>24</v>
      </c>
      <c r="B38" s="247">
        <v>73829</v>
      </c>
      <c r="C38" s="249">
        <f>+B38</f>
        <v>73829</v>
      </c>
      <c r="D38" s="249">
        <v>0</v>
      </c>
      <c r="E38" s="256">
        <v>47000</v>
      </c>
      <c r="F38" s="252"/>
      <c r="G38" s="3"/>
    </row>
    <row r="39" spans="1:7" x14ac:dyDescent="0.25">
      <c r="A39" s="247" t="s">
        <v>42</v>
      </c>
      <c r="B39" s="247">
        <v>0</v>
      </c>
      <c r="C39" s="247">
        <f>+B39</f>
        <v>0</v>
      </c>
      <c r="D39" s="247">
        <v>0</v>
      </c>
      <c r="E39" s="257"/>
      <c r="F39" s="252"/>
      <c r="G39" s="3"/>
    </row>
    <row r="40" spans="1:7" x14ac:dyDescent="0.25">
      <c r="A40" s="247" t="s">
        <v>29</v>
      </c>
      <c r="B40" s="247">
        <v>7716</v>
      </c>
      <c r="C40" s="247">
        <f>+B40</f>
        <v>7716</v>
      </c>
      <c r="D40" s="247">
        <v>0</v>
      </c>
      <c r="E40" s="248"/>
      <c r="F40" s="252"/>
      <c r="G40" s="3"/>
    </row>
    <row r="41" spans="1:7" x14ac:dyDescent="0.25">
      <c r="A41" s="247" t="s">
        <v>153</v>
      </c>
      <c r="B41" s="247">
        <v>0</v>
      </c>
      <c r="C41" s="247">
        <v>0</v>
      </c>
      <c r="D41" s="247">
        <v>0</v>
      </c>
      <c r="E41" s="251"/>
      <c r="F41" s="252"/>
      <c r="G41" s="3"/>
    </row>
    <row r="42" spans="1:7" x14ac:dyDescent="0.25">
      <c r="A42" s="247"/>
      <c r="B42" s="247"/>
      <c r="C42" s="247"/>
      <c r="D42" s="247"/>
      <c r="E42" s="248"/>
      <c r="F42" s="252"/>
      <c r="G42" s="3"/>
    </row>
    <row r="43" spans="1:7" x14ac:dyDescent="0.25">
      <c r="A43" s="246" t="s">
        <v>12</v>
      </c>
      <c r="B43" s="246">
        <f>SUM(B36:B42)</f>
        <v>405777</v>
      </c>
      <c r="C43" s="250">
        <f>SUM(C36:C42)</f>
        <v>169013</v>
      </c>
      <c r="D43" s="250">
        <f>SUM(D36:D42)</f>
        <v>236764</v>
      </c>
      <c r="E43" s="253">
        <f>SUM(E36:E42)</f>
        <v>329232</v>
      </c>
      <c r="F43" s="252"/>
      <c r="G43" s="3"/>
    </row>
    <row r="44" spans="1:7" x14ac:dyDescent="0.25">
      <c r="A44" s="3"/>
      <c r="B44" s="3"/>
      <c r="C44" s="3"/>
      <c r="D44" s="3"/>
      <c r="E44" s="3"/>
      <c r="F44" s="3"/>
      <c r="G44" s="3"/>
    </row>
    <row r="45" spans="1:7" x14ac:dyDescent="0.25">
      <c r="A45" s="3"/>
      <c r="B45" s="3"/>
      <c r="C45" s="3"/>
      <c r="D45" s="3"/>
      <c r="E45" s="3"/>
      <c r="F45" s="3"/>
      <c r="G45" s="3"/>
    </row>
    <row r="46" spans="1:7" x14ac:dyDescent="0.25">
      <c r="A46" s="3"/>
      <c r="B46" s="3"/>
      <c r="C46" s="3"/>
      <c r="D46" s="3"/>
      <c r="E46" s="3"/>
      <c r="F46" s="3"/>
      <c r="G46" s="3"/>
    </row>
    <row r="47" spans="1:7" x14ac:dyDescent="0.25">
      <c r="B47" s="3"/>
    </row>
    <row r="48" spans="1:7" x14ac:dyDescent="0.25">
      <c r="B48" s="238"/>
    </row>
  </sheetData>
  <mergeCells count="17">
    <mergeCell ref="F4:F5"/>
    <mergeCell ref="H2:H3"/>
    <mergeCell ref="I2:I3"/>
    <mergeCell ref="H1:I1"/>
    <mergeCell ref="A33:F33"/>
    <mergeCell ref="A14:D14"/>
    <mergeCell ref="A1:F1"/>
    <mergeCell ref="A2:A3"/>
    <mergeCell ref="B2:B3"/>
    <mergeCell ref="C2:D2"/>
    <mergeCell ref="E2:E3"/>
    <mergeCell ref="F2:F3"/>
    <mergeCell ref="A34:A35"/>
    <mergeCell ref="B34:B35"/>
    <mergeCell ref="C34:D34"/>
    <mergeCell ref="E34:E35"/>
    <mergeCell ref="F34:F35"/>
  </mergeCells>
  <pageMargins left="0.7" right="0.7" top="0.75" bottom="0.75" header="0.3" footer="0.3"/>
  <pageSetup paperSize="9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H17" sqref="H17"/>
    </sheetView>
  </sheetViews>
  <sheetFormatPr defaultRowHeight="15" x14ac:dyDescent="0.25"/>
  <sheetData>
    <row r="1" spans="1:6" x14ac:dyDescent="0.25">
      <c r="A1" s="754" t="s">
        <v>156</v>
      </c>
      <c r="B1" s="754"/>
      <c r="C1" s="754"/>
      <c r="D1" s="754"/>
      <c r="E1" s="754"/>
      <c r="F1" s="754"/>
    </row>
    <row r="2" spans="1:6" x14ac:dyDescent="0.25">
      <c r="A2" s="754" t="s">
        <v>7</v>
      </c>
      <c r="B2" s="754" t="s">
        <v>47</v>
      </c>
      <c r="C2" s="754" t="s">
        <v>48</v>
      </c>
      <c r="D2" s="754"/>
      <c r="E2" s="754" t="s">
        <v>32</v>
      </c>
      <c r="F2" s="754" t="s">
        <v>23</v>
      </c>
    </row>
    <row r="3" spans="1:6" x14ac:dyDescent="0.25">
      <c r="A3" s="754"/>
      <c r="B3" s="754"/>
      <c r="C3" s="190" t="s">
        <v>5</v>
      </c>
      <c r="D3" s="190" t="s">
        <v>152</v>
      </c>
      <c r="E3" s="754"/>
      <c r="F3" s="754"/>
    </row>
    <row r="4" spans="1:6" x14ac:dyDescent="0.25">
      <c r="A4" s="16" t="s">
        <v>11</v>
      </c>
      <c r="B4" s="16">
        <v>413961</v>
      </c>
      <c r="C4" s="25">
        <f>+B4-D4</f>
        <v>205961</v>
      </c>
      <c r="D4" s="25">
        <v>208000</v>
      </c>
      <c r="E4" s="25"/>
      <c r="F4" s="21"/>
    </row>
    <row r="5" spans="1:6" x14ac:dyDescent="0.25">
      <c r="A5" s="16" t="s">
        <v>17</v>
      </c>
      <c r="B5" s="16">
        <v>59030</v>
      </c>
      <c r="C5" s="16">
        <f>+B5</f>
        <v>59030</v>
      </c>
      <c r="D5" s="16">
        <v>0</v>
      </c>
      <c r="E5" s="25"/>
      <c r="F5" s="36"/>
    </row>
    <row r="6" spans="1:6" x14ac:dyDescent="0.25">
      <c r="A6" s="16" t="s">
        <v>24</v>
      </c>
      <c r="B6" s="16">
        <v>71369</v>
      </c>
      <c r="C6" s="25">
        <f>+B6</f>
        <v>71369</v>
      </c>
      <c r="D6" s="25">
        <v>0</v>
      </c>
      <c r="E6" s="25"/>
      <c r="F6" s="22"/>
    </row>
    <row r="7" spans="1:6" x14ac:dyDescent="0.25">
      <c r="A7" s="16" t="s">
        <v>42</v>
      </c>
      <c r="B7" s="16">
        <v>4800</v>
      </c>
      <c r="C7" s="16">
        <f>+B7</f>
        <v>4800</v>
      </c>
      <c r="D7" s="16">
        <v>0</v>
      </c>
      <c r="E7" s="25"/>
      <c r="F7" s="37"/>
    </row>
    <row r="8" spans="1:6" x14ac:dyDescent="0.25">
      <c r="A8" s="16" t="s">
        <v>29</v>
      </c>
      <c r="B8" s="16">
        <v>23484</v>
      </c>
      <c r="C8" s="16">
        <f>+B8</f>
        <v>23484</v>
      </c>
      <c r="D8" s="16">
        <v>0</v>
      </c>
      <c r="E8" s="25"/>
      <c r="F8" s="22"/>
    </row>
    <row r="9" spans="1:6" x14ac:dyDescent="0.25">
      <c r="A9" s="16" t="s">
        <v>153</v>
      </c>
      <c r="B9" s="16">
        <v>0</v>
      </c>
      <c r="C9" s="16">
        <v>0</v>
      </c>
      <c r="D9" s="16">
        <v>0</v>
      </c>
      <c r="E9" s="25"/>
      <c r="F9" s="60"/>
    </row>
    <row r="10" spans="1:6" x14ac:dyDescent="0.25">
      <c r="A10" s="16"/>
      <c r="B10" s="16"/>
      <c r="C10" s="16"/>
      <c r="D10" s="16"/>
      <c r="E10" s="16"/>
      <c r="F10" s="22"/>
    </row>
    <row r="11" spans="1:6" x14ac:dyDescent="0.25">
      <c r="A11" s="190" t="s">
        <v>12</v>
      </c>
      <c r="B11" s="190">
        <f>SUM(B4:B10)</f>
        <v>572644</v>
      </c>
      <c r="C11" s="27">
        <f>SUM(C4:C10)</f>
        <v>364644</v>
      </c>
      <c r="D11" s="27">
        <f>SUM(D4:D10)</f>
        <v>208000</v>
      </c>
      <c r="E11" s="27"/>
      <c r="F11" s="107"/>
    </row>
  </sheetData>
  <mergeCells count="6">
    <mergeCell ref="A1:F1"/>
    <mergeCell ref="A2:A3"/>
    <mergeCell ref="B2:B3"/>
    <mergeCell ref="C2:D2"/>
    <mergeCell ref="E2:E3"/>
    <mergeCell ref="F2:F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G21" sqref="G21"/>
    </sheetView>
  </sheetViews>
  <sheetFormatPr defaultRowHeight="15" x14ac:dyDescent="0.25"/>
  <sheetData>
    <row r="1" spans="1:6" x14ac:dyDescent="0.25">
      <c r="A1" s="754" t="s">
        <v>151</v>
      </c>
      <c r="B1" s="754"/>
      <c r="C1" s="754"/>
      <c r="D1" s="754"/>
      <c r="E1" s="754"/>
      <c r="F1" s="754"/>
    </row>
    <row r="2" spans="1:6" x14ac:dyDescent="0.25">
      <c r="A2" s="754" t="s">
        <v>7</v>
      </c>
      <c r="B2" s="754" t="s">
        <v>47</v>
      </c>
      <c r="C2" s="754" t="s">
        <v>48</v>
      </c>
      <c r="D2" s="754"/>
      <c r="E2" s="754" t="s">
        <v>32</v>
      </c>
      <c r="F2" s="754" t="s">
        <v>23</v>
      </c>
    </row>
    <row r="3" spans="1:6" x14ac:dyDescent="0.25">
      <c r="A3" s="754"/>
      <c r="B3" s="754"/>
      <c r="C3" s="15" t="s">
        <v>5</v>
      </c>
      <c r="D3" s="15" t="s">
        <v>152</v>
      </c>
      <c r="E3" s="754"/>
      <c r="F3" s="754"/>
    </row>
    <row r="4" spans="1:6" x14ac:dyDescent="0.25">
      <c r="A4" s="16" t="s">
        <v>11</v>
      </c>
      <c r="B4" s="16">
        <v>299933</v>
      </c>
      <c r="C4" s="25">
        <f>+B4-D4</f>
        <v>154433</v>
      </c>
      <c r="D4" s="25">
        <v>145500</v>
      </c>
      <c r="E4" s="25"/>
      <c r="F4" s="21"/>
    </row>
    <row r="5" spans="1:6" x14ac:dyDescent="0.25">
      <c r="A5" s="16" t="s">
        <v>17</v>
      </c>
      <c r="B5" s="16">
        <v>73405</v>
      </c>
      <c r="C5" s="16">
        <f>+B5</f>
        <v>73405</v>
      </c>
      <c r="D5" s="16">
        <v>0</v>
      </c>
      <c r="E5" s="25"/>
      <c r="F5" s="36"/>
    </row>
    <row r="6" spans="1:6" x14ac:dyDescent="0.25">
      <c r="A6" s="16" t="s">
        <v>24</v>
      </c>
      <c r="B6" s="16">
        <v>98261</v>
      </c>
      <c r="C6" s="25">
        <f>+B6-D6</f>
        <v>98261</v>
      </c>
      <c r="D6" s="25">
        <v>0</v>
      </c>
      <c r="E6" s="25"/>
      <c r="F6" s="22"/>
    </row>
    <row r="7" spans="1:6" x14ac:dyDescent="0.25">
      <c r="A7" s="16" t="s">
        <v>42</v>
      </c>
      <c r="B7" s="16">
        <v>0</v>
      </c>
      <c r="C7" s="16">
        <v>0</v>
      </c>
      <c r="D7" s="16">
        <v>0</v>
      </c>
      <c r="E7" s="25"/>
      <c r="F7" s="37"/>
    </row>
    <row r="8" spans="1:6" x14ac:dyDescent="0.25">
      <c r="A8" s="16" t="s">
        <v>29</v>
      </c>
      <c r="B8" s="16">
        <v>8004</v>
      </c>
      <c r="C8" s="16">
        <f>+B8</f>
        <v>8004</v>
      </c>
      <c r="D8" s="16">
        <v>0</v>
      </c>
      <c r="E8" s="25"/>
      <c r="F8" s="22"/>
    </row>
    <row r="9" spans="1:6" x14ac:dyDescent="0.25">
      <c r="A9" s="16" t="s">
        <v>153</v>
      </c>
      <c r="B9" s="16">
        <v>0</v>
      </c>
      <c r="C9" s="16">
        <v>0</v>
      </c>
      <c r="D9" s="16">
        <v>0</v>
      </c>
      <c r="E9" s="25"/>
      <c r="F9" s="60"/>
    </row>
    <row r="10" spans="1:6" x14ac:dyDescent="0.25">
      <c r="A10" s="16"/>
      <c r="B10" s="16"/>
      <c r="C10" s="16"/>
      <c r="D10" s="16"/>
      <c r="E10" s="16"/>
      <c r="F10" s="22"/>
    </row>
    <row r="11" spans="1:6" x14ac:dyDescent="0.25">
      <c r="A11" s="15" t="s">
        <v>12</v>
      </c>
      <c r="B11" s="15">
        <f>SUM(B4:B10)</f>
        <v>479603</v>
      </c>
      <c r="C11" s="27">
        <f>SUM(C4:C10)</f>
        <v>334103</v>
      </c>
      <c r="D11" s="27">
        <f>SUM(D4:D10)</f>
        <v>145500</v>
      </c>
      <c r="E11" s="27"/>
      <c r="F11" s="107"/>
    </row>
  </sheetData>
  <mergeCells count="6">
    <mergeCell ref="A1:F1"/>
    <mergeCell ref="A2:A3"/>
    <mergeCell ref="B2:B3"/>
    <mergeCell ref="C2:D2"/>
    <mergeCell ref="E2:E3"/>
    <mergeCell ref="F2:F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G25" sqref="G25"/>
    </sheetView>
  </sheetViews>
  <sheetFormatPr defaultRowHeight="15" x14ac:dyDescent="0.25"/>
  <sheetData>
    <row r="1" spans="1:6" x14ac:dyDescent="0.25">
      <c r="A1" s="812" t="s">
        <v>154</v>
      </c>
      <c r="B1" s="813"/>
      <c r="C1" s="813"/>
      <c r="D1" s="813"/>
      <c r="E1" s="813"/>
      <c r="F1" s="814"/>
    </row>
    <row r="2" spans="1:6" x14ac:dyDescent="0.25">
      <c r="A2" s="815" t="s">
        <v>7</v>
      </c>
      <c r="B2" s="815" t="s">
        <v>47</v>
      </c>
      <c r="C2" s="812" t="s">
        <v>48</v>
      </c>
      <c r="D2" s="814"/>
      <c r="E2" s="815" t="s">
        <v>32</v>
      </c>
      <c r="F2" s="815" t="s">
        <v>23</v>
      </c>
    </row>
    <row r="3" spans="1:6" x14ac:dyDescent="0.25">
      <c r="A3" s="816"/>
      <c r="B3" s="816"/>
      <c r="C3" s="15" t="s">
        <v>5</v>
      </c>
      <c r="D3" s="15" t="s">
        <v>152</v>
      </c>
      <c r="E3" s="816"/>
      <c r="F3" s="816"/>
    </row>
    <row r="4" spans="1:6" x14ac:dyDescent="0.25">
      <c r="A4" s="16" t="s">
        <v>11</v>
      </c>
      <c r="B4" s="16">
        <v>705716</v>
      </c>
      <c r="C4" s="25">
        <f>+B4-D4</f>
        <v>357412</v>
      </c>
      <c r="D4" s="25">
        <v>348304</v>
      </c>
      <c r="E4" s="25"/>
      <c r="F4" s="21"/>
    </row>
    <row r="5" spans="1:6" x14ac:dyDescent="0.25">
      <c r="A5" s="16" t="s">
        <v>17</v>
      </c>
      <c r="B5" s="16">
        <v>112926</v>
      </c>
      <c r="C5" s="16">
        <f>+B5</f>
        <v>112926</v>
      </c>
      <c r="D5" s="16">
        <v>0</v>
      </c>
      <c r="E5" s="25"/>
      <c r="F5" s="36"/>
    </row>
    <row r="6" spans="1:6" x14ac:dyDescent="0.25">
      <c r="A6" s="16" t="s">
        <v>24</v>
      </c>
      <c r="B6" s="16">
        <v>106378</v>
      </c>
      <c r="C6" s="25">
        <f>+B6-D6</f>
        <v>106378</v>
      </c>
      <c r="D6" s="25">
        <v>0</v>
      </c>
      <c r="E6" s="25"/>
      <c r="F6" s="22"/>
    </row>
    <row r="7" spans="1:6" x14ac:dyDescent="0.25">
      <c r="A7" s="16" t="s">
        <v>42</v>
      </c>
      <c r="B7" s="16">
        <v>0</v>
      </c>
      <c r="C7" s="16">
        <v>0</v>
      </c>
      <c r="D7" s="16">
        <v>0</v>
      </c>
      <c r="E7" s="25"/>
      <c r="F7" s="37"/>
    </row>
    <row r="8" spans="1:6" x14ac:dyDescent="0.25">
      <c r="A8" s="16" t="s">
        <v>29</v>
      </c>
      <c r="B8" s="16">
        <v>25400</v>
      </c>
      <c r="C8" s="16">
        <f>+B8</f>
        <v>25400</v>
      </c>
      <c r="D8" s="16">
        <v>0</v>
      </c>
      <c r="E8" s="25"/>
      <c r="F8" s="22"/>
    </row>
    <row r="9" spans="1:6" x14ac:dyDescent="0.25">
      <c r="A9" s="16" t="s">
        <v>153</v>
      </c>
      <c r="B9" s="16">
        <v>0</v>
      </c>
      <c r="C9" s="16">
        <v>0</v>
      </c>
      <c r="D9" s="16">
        <v>0</v>
      </c>
      <c r="E9" s="25"/>
      <c r="F9" s="60"/>
    </row>
    <row r="10" spans="1:6" x14ac:dyDescent="0.25">
      <c r="A10" s="16"/>
      <c r="B10" s="16"/>
      <c r="C10" s="16"/>
      <c r="D10" s="16"/>
      <c r="E10" s="16"/>
      <c r="F10" s="22"/>
    </row>
    <row r="11" spans="1:6" x14ac:dyDescent="0.25">
      <c r="A11" s="15" t="s">
        <v>12</v>
      </c>
      <c r="B11" s="15">
        <f>SUM(B4:B10)</f>
        <v>950420</v>
      </c>
      <c r="C11" s="27">
        <f>SUM(C4:C10)</f>
        <v>602116</v>
      </c>
      <c r="D11" s="27">
        <f>SUM(D4:D10)</f>
        <v>348304</v>
      </c>
      <c r="E11" s="27"/>
      <c r="F11" s="107"/>
    </row>
  </sheetData>
  <mergeCells count="6">
    <mergeCell ref="A1:F1"/>
    <mergeCell ref="A2:A3"/>
    <mergeCell ref="B2:B3"/>
    <mergeCell ref="C2:D2"/>
    <mergeCell ref="E2:E3"/>
    <mergeCell ref="F2:F3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G17" sqref="G17"/>
    </sheetView>
  </sheetViews>
  <sheetFormatPr defaultRowHeight="15" x14ac:dyDescent="0.25"/>
  <sheetData>
    <row r="1" spans="1:7" x14ac:dyDescent="0.25">
      <c r="A1" s="191"/>
      <c r="B1" s="191"/>
      <c r="C1" s="191"/>
      <c r="D1" s="191"/>
      <c r="E1" s="191"/>
      <c r="F1" s="191"/>
      <c r="G1" s="191"/>
    </row>
    <row r="2" spans="1:7" x14ac:dyDescent="0.25">
      <c r="A2" s="1"/>
      <c r="B2" s="189"/>
      <c r="C2" s="189"/>
      <c r="D2" s="189"/>
      <c r="E2" s="189"/>
      <c r="F2" s="189"/>
      <c r="G2" s="189"/>
    </row>
    <row r="3" spans="1:7" x14ac:dyDescent="0.25">
      <c r="A3" s="192"/>
      <c r="B3" s="192"/>
      <c r="C3" s="192"/>
      <c r="D3" s="192"/>
      <c r="E3" s="192"/>
      <c r="F3" s="192"/>
      <c r="G3" s="192"/>
    </row>
    <row r="4" spans="1:7" x14ac:dyDescent="0.25">
      <c r="A4" s="754" t="s">
        <v>155</v>
      </c>
      <c r="B4" s="754"/>
      <c r="C4" s="754"/>
      <c r="D4" s="754"/>
      <c r="E4" s="754"/>
      <c r="F4" s="754"/>
      <c r="G4" s="189"/>
    </row>
    <row r="5" spans="1:7" x14ac:dyDescent="0.25">
      <c r="A5" s="754" t="s">
        <v>7</v>
      </c>
      <c r="B5" s="754" t="s">
        <v>47</v>
      </c>
      <c r="C5" s="754" t="s">
        <v>48</v>
      </c>
      <c r="D5" s="754"/>
      <c r="E5" s="754" t="s">
        <v>32</v>
      </c>
      <c r="F5" s="754" t="s">
        <v>23</v>
      </c>
      <c r="G5" s="188"/>
    </row>
    <row r="6" spans="1:7" x14ac:dyDescent="0.25">
      <c r="A6" s="754"/>
      <c r="B6" s="754"/>
      <c r="C6" s="15" t="s">
        <v>5</v>
      </c>
      <c r="D6" s="15" t="s">
        <v>152</v>
      </c>
      <c r="E6" s="754"/>
      <c r="F6" s="754"/>
      <c r="G6" s="188"/>
    </row>
    <row r="7" spans="1:7" x14ac:dyDescent="0.25">
      <c r="A7" s="16" t="s">
        <v>11</v>
      </c>
      <c r="B7" s="16">
        <v>586963</v>
      </c>
      <c r="C7" s="25">
        <v>327338</v>
      </c>
      <c r="D7" s="25">
        <f>+B7-C7</f>
        <v>259625</v>
      </c>
      <c r="E7" s="25"/>
      <c r="F7" s="21"/>
      <c r="G7" s="18"/>
    </row>
    <row r="8" spans="1:7" x14ac:dyDescent="0.25">
      <c r="A8" s="16" t="s">
        <v>17</v>
      </c>
      <c r="B8" s="16">
        <v>194237</v>
      </c>
      <c r="C8" s="16">
        <f>+B8</f>
        <v>194237</v>
      </c>
      <c r="D8" s="16">
        <v>0</v>
      </c>
      <c r="E8" s="25"/>
      <c r="F8" s="36"/>
      <c r="G8" s="193"/>
    </row>
    <row r="9" spans="1:7" x14ac:dyDescent="0.25">
      <c r="A9" s="16" t="s">
        <v>24</v>
      </c>
      <c r="B9" s="16">
        <v>171704</v>
      </c>
      <c r="C9" s="25">
        <v>114744</v>
      </c>
      <c r="D9" s="25">
        <f>+B9-C9</f>
        <v>56960</v>
      </c>
      <c r="E9" s="25"/>
      <c r="F9" s="22"/>
      <c r="G9" s="193"/>
    </row>
    <row r="10" spans="1:7" x14ac:dyDescent="0.25">
      <c r="A10" s="16" t="s">
        <v>42</v>
      </c>
      <c r="B10" s="16">
        <v>29893</v>
      </c>
      <c r="C10" s="16">
        <f>+B10</f>
        <v>29893</v>
      </c>
      <c r="D10" s="16">
        <v>0</v>
      </c>
      <c r="E10" s="25"/>
      <c r="F10" s="37"/>
      <c r="G10" s="193"/>
    </row>
    <row r="11" spans="1:7" x14ac:dyDescent="0.25">
      <c r="A11" s="16" t="s">
        <v>29</v>
      </c>
      <c r="B11" s="16">
        <v>3720</v>
      </c>
      <c r="C11" s="16">
        <f>+B11</f>
        <v>3720</v>
      </c>
      <c r="D11" s="16">
        <v>0</v>
      </c>
      <c r="E11" s="25"/>
      <c r="F11" s="22"/>
      <c r="G11" s="193"/>
    </row>
    <row r="12" spans="1:7" x14ac:dyDescent="0.25">
      <c r="A12" s="16" t="s">
        <v>153</v>
      </c>
      <c r="B12" s="16">
        <v>37968</v>
      </c>
      <c r="C12" s="16">
        <f>+B12</f>
        <v>37968</v>
      </c>
      <c r="D12" s="16">
        <v>0</v>
      </c>
      <c r="E12" s="25"/>
      <c r="F12" s="60"/>
      <c r="G12" s="193"/>
    </row>
    <row r="13" spans="1:7" x14ac:dyDescent="0.25">
      <c r="A13" s="16"/>
      <c r="B13" s="16"/>
      <c r="C13" s="16"/>
      <c r="D13" s="16"/>
      <c r="E13" s="16"/>
      <c r="F13" s="22"/>
      <c r="G13" s="193"/>
    </row>
    <row r="14" spans="1:7" x14ac:dyDescent="0.25">
      <c r="A14" s="15" t="s">
        <v>12</v>
      </c>
      <c r="B14" s="15">
        <f>SUM(B7:B13)</f>
        <v>1024485</v>
      </c>
      <c r="C14" s="27">
        <f>SUM(C7:C13)</f>
        <v>707900</v>
      </c>
      <c r="D14" s="27">
        <f>SUM(D7:D13)</f>
        <v>316585</v>
      </c>
      <c r="E14" s="27"/>
      <c r="F14" s="107"/>
      <c r="G14" s="193"/>
    </row>
  </sheetData>
  <mergeCells count="6">
    <mergeCell ref="A4:F4"/>
    <mergeCell ref="A5:A6"/>
    <mergeCell ref="B5:B6"/>
    <mergeCell ref="C5:D5"/>
    <mergeCell ref="E5:E6"/>
    <mergeCell ref="F5:F6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14"/>
  <sheetViews>
    <sheetView workbookViewId="0">
      <selection activeCell="A18" sqref="A18"/>
    </sheetView>
  </sheetViews>
  <sheetFormatPr defaultRowHeight="15" x14ac:dyDescent="0.25"/>
  <cols>
    <col min="1" max="1" width="18" customWidth="1"/>
    <col min="3" max="3" width="10.5703125" customWidth="1"/>
    <col min="4" max="4" width="10.5703125" style="260" customWidth="1"/>
    <col min="5" max="5" width="13.42578125" customWidth="1"/>
    <col min="6" max="6" width="13.140625" customWidth="1"/>
  </cols>
  <sheetData>
    <row r="4" spans="1:6" x14ac:dyDescent="0.25">
      <c r="A4" s="761" t="s">
        <v>198</v>
      </c>
      <c r="B4" s="762"/>
      <c r="C4" s="762"/>
      <c r="D4" s="762"/>
      <c r="E4" s="763"/>
      <c r="F4" s="265"/>
    </row>
    <row r="5" spans="1:6" x14ac:dyDescent="0.25">
      <c r="A5" s="278" t="s">
        <v>168</v>
      </c>
      <c r="B5" s="278" t="s">
        <v>169</v>
      </c>
      <c r="C5" s="278" t="s">
        <v>172</v>
      </c>
      <c r="D5" s="278" t="s">
        <v>199</v>
      </c>
      <c r="E5" s="278" t="s">
        <v>170</v>
      </c>
      <c r="F5" s="265" t="s">
        <v>228</v>
      </c>
    </row>
    <row r="6" spans="1:6" x14ac:dyDescent="0.25">
      <c r="A6" s="259" t="s">
        <v>210</v>
      </c>
      <c r="B6" s="276">
        <v>14000</v>
      </c>
      <c r="C6" s="242">
        <v>42277</v>
      </c>
      <c r="D6" s="242" t="s">
        <v>227</v>
      </c>
      <c r="E6" s="276" t="s">
        <v>211</v>
      </c>
      <c r="F6" s="265" t="s">
        <v>152</v>
      </c>
    </row>
    <row r="7" spans="1:6" x14ac:dyDescent="0.25">
      <c r="A7" s="276" t="s">
        <v>26</v>
      </c>
      <c r="B7" s="276">
        <v>26000</v>
      </c>
      <c r="C7" s="242">
        <v>42277</v>
      </c>
      <c r="D7" s="274" t="s">
        <v>227</v>
      </c>
      <c r="E7" s="274"/>
      <c r="F7" s="265" t="s">
        <v>229</v>
      </c>
    </row>
    <row r="8" spans="1:6" x14ac:dyDescent="0.25">
      <c r="A8" s="276" t="s">
        <v>166</v>
      </c>
      <c r="B8" s="276">
        <v>28200</v>
      </c>
      <c r="C8" s="243">
        <v>42282</v>
      </c>
      <c r="D8" s="274" t="s">
        <v>227</v>
      </c>
      <c r="E8" s="274"/>
      <c r="F8" s="265" t="s">
        <v>229</v>
      </c>
    </row>
    <row r="9" spans="1:6" x14ac:dyDescent="0.25">
      <c r="A9" s="276" t="s">
        <v>220</v>
      </c>
      <c r="B9" s="276">
        <v>13000</v>
      </c>
      <c r="C9" s="243">
        <v>42282</v>
      </c>
      <c r="D9" s="243"/>
      <c r="E9" s="276" t="s">
        <v>224</v>
      </c>
      <c r="F9" s="263" t="s">
        <v>152</v>
      </c>
    </row>
    <row r="10" spans="1:6" x14ac:dyDescent="0.25">
      <c r="A10" s="276" t="s">
        <v>173</v>
      </c>
      <c r="B10" s="276">
        <v>13000</v>
      </c>
      <c r="C10" s="243">
        <v>42287</v>
      </c>
      <c r="D10" s="243"/>
      <c r="E10" s="276"/>
      <c r="F10" s="263" t="s">
        <v>152</v>
      </c>
    </row>
    <row r="11" spans="1:6" x14ac:dyDescent="0.25">
      <c r="A11" s="276" t="s">
        <v>175</v>
      </c>
      <c r="B11" s="276">
        <v>17500</v>
      </c>
      <c r="C11" s="242">
        <v>42282</v>
      </c>
      <c r="D11" s="242"/>
      <c r="E11" s="274"/>
      <c r="F11" s="265" t="s">
        <v>229</v>
      </c>
    </row>
    <row r="12" spans="1:6" x14ac:dyDescent="0.25">
      <c r="A12" s="276" t="s">
        <v>176</v>
      </c>
      <c r="B12" s="276">
        <v>31500</v>
      </c>
      <c r="C12" s="242">
        <v>42282</v>
      </c>
      <c r="D12" s="242"/>
      <c r="E12" s="274" t="s">
        <v>222</v>
      </c>
      <c r="F12" s="265" t="s">
        <v>152</v>
      </c>
    </row>
    <row r="13" spans="1:6" x14ac:dyDescent="0.25">
      <c r="A13" s="276" t="s">
        <v>221</v>
      </c>
      <c r="B13" s="276">
        <v>10000</v>
      </c>
      <c r="C13" s="242">
        <v>42282</v>
      </c>
      <c r="D13" s="242"/>
      <c r="E13" s="274" t="s">
        <v>226</v>
      </c>
      <c r="F13" s="265" t="s">
        <v>152</v>
      </c>
    </row>
    <row r="14" spans="1:6" x14ac:dyDescent="0.25">
      <c r="A14" s="278" t="s">
        <v>171</v>
      </c>
      <c r="B14" s="278">
        <f>SUM(B6:B13)</f>
        <v>153200</v>
      </c>
      <c r="C14" s="274"/>
      <c r="D14" s="274"/>
      <c r="E14" s="274"/>
      <c r="F14" s="260"/>
    </row>
  </sheetData>
  <mergeCells count="1">
    <mergeCell ref="A4:E4"/>
  </mergeCells>
  <pageMargins left="0.7" right="0.7" top="0.75" bottom="0.75" header="0.3" footer="0.3"/>
  <pageSetup paperSize="9" scale="1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26</vt:i4>
      </vt:variant>
    </vt:vector>
  </HeadingPairs>
  <TitlesOfParts>
    <vt:vector size="69" baseType="lpstr">
      <vt:lpstr>Clothing</vt:lpstr>
      <vt:lpstr>Apparels</vt:lpstr>
      <vt:lpstr>Design</vt:lpstr>
      <vt:lpstr>Holdings</vt:lpstr>
      <vt:lpstr>AKCL 1</vt:lpstr>
      <vt:lpstr>AKCL 2</vt:lpstr>
      <vt:lpstr>AKCL- 3</vt:lpstr>
      <vt:lpstr>October-17</vt:lpstr>
      <vt:lpstr>September-17</vt:lpstr>
      <vt:lpstr>August-17 </vt:lpstr>
      <vt:lpstr>July-17 </vt:lpstr>
      <vt:lpstr>June-17  </vt:lpstr>
      <vt:lpstr>May-17 </vt:lpstr>
      <vt:lpstr>April-17 </vt:lpstr>
      <vt:lpstr>March-17</vt:lpstr>
      <vt:lpstr>February-17</vt:lpstr>
      <vt:lpstr>January-17</vt:lpstr>
      <vt:lpstr>December-16</vt:lpstr>
      <vt:lpstr>November-16</vt:lpstr>
      <vt:lpstr>AKCL 3</vt:lpstr>
      <vt:lpstr>October-16</vt:lpstr>
      <vt:lpstr>September-16</vt:lpstr>
      <vt:lpstr>August-16 </vt:lpstr>
      <vt:lpstr>July16</vt:lpstr>
      <vt:lpstr>JUNE-16</vt:lpstr>
      <vt:lpstr>May-16</vt:lpstr>
      <vt:lpstr>April-16</vt:lpstr>
      <vt:lpstr>March-16</vt:lpstr>
      <vt:lpstr>February-16 </vt:lpstr>
      <vt:lpstr>January-16</vt:lpstr>
      <vt:lpstr>December </vt:lpstr>
      <vt:lpstr>November</vt:lpstr>
      <vt:lpstr>Kiabi &amp; Okaidi (December)  (2)</vt:lpstr>
      <vt:lpstr>Kiabi &amp; Okaidi (December)   (3</vt:lpstr>
      <vt:lpstr>Kiabi &amp; Okaidi Dyeing Unit</vt:lpstr>
      <vt:lpstr>November (2)</vt:lpstr>
      <vt:lpstr>October</vt:lpstr>
      <vt:lpstr>September</vt:lpstr>
      <vt:lpstr>August</vt:lpstr>
      <vt:lpstr>July</vt:lpstr>
      <vt:lpstr>June</vt:lpstr>
      <vt:lpstr>May</vt:lpstr>
      <vt:lpstr>Sheet1</vt:lpstr>
      <vt:lpstr>'AKCL 1'!Print_Area</vt:lpstr>
      <vt:lpstr>'AKCL 2'!Print_Area</vt:lpstr>
      <vt:lpstr>'AKCL 3'!Print_Area</vt:lpstr>
      <vt:lpstr>'AKCL- 3'!Print_Area</vt:lpstr>
      <vt:lpstr>Apparels!Print_Area</vt:lpstr>
      <vt:lpstr>'April-17 '!Print_Area</vt:lpstr>
      <vt:lpstr>'August-17 '!Print_Area</vt:lpstr>
      <vt:lpstr>Clothing!Print_Area</vt:lpstr>
      <vt:lpstr>'December-16'!Print_Area</vt:lpstr>
      <vt:lpstr>Design!Print_Area</vt:lpstr>
      <vt:lpstr>'February-17'!Print_Area</vt:lpstr>
      <vt:lpstr>Holdings!Print_Area</vt:lpstr>
      <vt:lpstr>'January-17'!Print_Area</vt:lpstr>
      <vt:lpstr>'July-17 '!Print_Area</vt:lpstr>
      <vt:lpstr>June!Print_Area</vt:lpstr>
      <vt:lpstr>'June-17  '!Print_Area</vt:lpstr>
      <vt:lpstr>'Kiabi &amp; Okaidi (December)   (3'!Print_Area</vt:lpstr>
      <vt:lpstr>'Kiabi &amp; Okaidi (December)  (2)'!Print_Area</vt:lpstr>
      <vt:lpstr>'Kiabi &amp; Okaidi Dyeing Unit'!Print_Area</vt:lpstr>
      <vt:lpstr>'March-17'!Print_Area</vt:lpstr>
      <vt:lpstr>'May-17 '!Print_Area</vt:lpstr>
      <vt:lpstr>'November-16'!Print_Area</vt:lpstr>
      <vt:lpstr>'October-16'!Print_Area</vt:lpstr>
      <vt:lpstr>'October-17'!Print_Area</vt:lpstr>
      <vt:lpstr>September!Print_Area</vt:lpstr>
      <vt:lpstr>'September-17'!Print_Area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2017-08-13T12:17:58Z</dcterms:modified>
</cp:coreProperties>
</file>